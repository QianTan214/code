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B站课件\Power BI\实战应用\"/>
    </mc:Choice>
  </mc:AlternateContent>
  <xr:revisionPtr revIDLastSave="0" documentId="13_ncr:1_{BFF2FCDA-EB1B-4F2C-A195-448726FCE3D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5" r:id="rId1"/>
    <sheet name="商品表" sheetId="2" r:id="rId2"/>
    <sheet name="日期表" sheetId="4" r:id="rId3"/>
    <sheet name="销售表" sheetId="1" r:id="rId4"/>
  </sheets>
  <definedNames>
    <definedName name="_xlnm._FilterDatabase" localSheetId="3" hidden="1">销售表!$A$1:$H$68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2" i="1" l="1"/>
  <c r="E102" i="1"/>
  <c r="F102" i="1"/>
  <c r="D103" i="1"/>
  <c r="E103" i="1"/>
  <c r="F103" i="1"/>
  <c r="D104" i="1"/>
  <c r="E104" i="1"/>
  <c r="F104" i="1"/>
  <c r="D105" i="1"/>
  <c r="E105" i="1"/>
  <c r="F105" i="1"/>
  <c r="D106" i="1"/>
  <c r="E106" i="1"/>
  <c r="F106" i="1"/>
  <c r="D107" i="1"/>
  <c r="E107" i="1"/>
  <c r="F107" i="1"/>
  <c r="D108" i="1"/>
  <c r="E108" i="1"/>
  <c r="F108" i="1"/>
  <c r="D109" i="1"/>
  <c r="E109" i="1"/>
  <c r="F109" i="1"/>
  <c r="D110" i="1"/>
  <c r="E110" i="1"/>
  <c r="F110" i="1"/>
  <c r="D111" i="1"/>
  <c r="E111" i="1"/>
  <c r="F111" i="1"/>
  <c r="D112" i="1"/>
  <c r="E112" i="1"/>
  <c r="F112" i="1"/>
  <c r="D113" i="1"/>
  <c r="E113" i="1"/>
  <c r="F113" i="1"/>
  <c r="D114" i="1"/>
  <c r="E114" i="1"/>
  <c r="F114" i="1"/>
  <c r="D115" i="1"/>
  <c r="E115" i="1"/>
  <c r="F115" i="1"/>
  <c r="D116" i="1"/>
  <c r="E116" i="1"/>
  <c r="F116" i="1"/>
  <c r="D117" i="1"/>
  <c r="E117" i="1"/>
  <c r="F117" i="1"/>
  <c r="D118" i="1"/>
  <c r="E118" i="1"/>
  <c r="F118" i="1"/>
  <c r="D119" i="1"/>
  <c r="E119" i="1"/>
  <c r="F119" i="1"/>
  <c r="D120" i="1"/>
  <c r="E120" i="1"/>
  <c r="F120" i="1"/>
  <c r="D121" i="1"/>
  <c r="E121" i="1"/>
  <c r="F121" i="1"/>
  <c r="D122" i="1"/>
  <c r="E122" i="1"/>
  <c r="F122" i="1"/>
  <c r="D123" i="1"/>
  <c r="E123" i="1"/>
  <c r="F123" i="1"/>
  <c r="D124" i="1"/>
  <c r="E124" i="1"/>
  <c r="F124" i="1"/>
  <c r="D125" i="1"/>
  <c r="E125" i="1"/>
  <c r="F125" i="1"/>
  <c r="D126" i="1"/>
  <c r="E126" i="1"/>
  <c r="F126" i="1"/>
  <c r="D127" i="1"/>
  <c r="E127" i="1"/>
  <c r="F127" i="1"/>
  <c r="D128" i="1"/>
  <c r="E128" i="1"/>
  <c r="F128" i="1"/>
  <c r="D129" i="1"/>
  <c r="E129" i="1"/>
  <c r="F129" i="1"/>
  <c r="D130" i="1"/>
  <c r="E130" i="1"/>
  <c r="F130" i="1"/>
  <c r="D131" i="1"/>
  <c r="E131" i="1"/>
  <c r="F131" i="1"/>
  <c r="D132" i="1"/>
  <c r="E132" i="1"/>
  <c r="F132" i="1"/>
  <c r="D133" i="1"/>
  <c r="E133" i="1"/>
  <c r="F133" i="1"/>
  <c r="D134" i="1"/>
  <c r="E134" i="1"/>
  <c r="F134" i="1"/>
  <c r="D135" i="1"/>
  <c r="E135" i="1"/>
  <c r="F135" i="1"/>
  <c r="D136" i="1"/>
  <c r="E136" i="1"/>
  <c r="F136" i="1"/>
  <c r="D137" i="1"/>
  <c r="E137" i="1"/>
  <c r="F137" i="1"/>
  <c r="D138" i="1"/>
  <c r="E138" i="1"/>
  <c r="F138" i="1"/>
  <c r="D139" i="1"/>
  <c r="E139" i="1"/>
  <c r="F139" i="1"/>
  <c r="D140" i="1"/>
  <c r="E140" i="1"/>
  <c r="F140" i="1"/>
  <c r="D141" i="1"/>
  <c r="G141" i="1" s="1"/>
  <c r="E141" i="1"/>
  <c r="F141" i="1"/>
  <c r="D142" i="1"/>
  <c r="E142" i="1"/>
  <c r="F142" i="1"/>
  <c r="D143" i="1"/>
  <c r="E143" i="1"/>
  <c r="F143" i="1"/>
  <c r="D144" i="1"/>
  <c r="E144" i="1"/>
  <c r="F144" i="1"/>
  <c r="D145" i="1"/>
  <c r="G145" i="1" s="1"/>
  <c r="E145" i="1"/>
  <c r="F145" i="1"/>
  <c r="D146" i="1"/>
  <c r="E146" i="1"/>
  <c r="F146" i="1"/>
  <c r="D147" i="1"/>
  <c r="E147" i="1"/>
  <c r="F147" i="1"/>
  <c r="D148" i="1"/>
  <c r="E148" i="1"/>
  <c r="F148" i="1"/>
  <c r="D149" i="1"/>
  <c r="G149" i="1" s="1"/>
  <c r="E149" i="1"/>
  <c r="F149" i="1"/>
  <c r="D150" i="1"/>
  <c r="E150" i="1"/>
  <c r="F150" i="1"/>
  <c r="D151" i="1"/>
  <c r="E151" i="1"/>
  <c r="F151" i="1"/>
  <c r="D152" i="1"/>
  <c r="E152" i="1"/>
  <c r="F152" i="1"/>
  <c r="D153" i="1"/>
  <c r="G153" i="1" s="1"/>
  <c r="E153" i="1"/>
  <c r="F153" i="1"/>
  <c r="D154" i="1"/>
  <c r="E154" i="1"/>
  <c r="F154" i="1"/>
  <c r="D155" i="1"/>
  <c r="E155" i="1"/>
  <c r="F155" i="1"/>
  <c r="D156" i="1"/>
  <c r="E156" i="1"/>
  <c r="F156" i="1"/>
  <c r="D157" i="1"/>
  <c r="G157" i="1" s="1"/>
  <c r="E157" i="1"/>
  <c r="F157" i="1"/>
  <c r="D158" i="1"/>
  <c r="E158" i="1"/>
  <c r="F158" i="1"/>
  <c r="D159" i="1"/>
  <c r="E159" i="1"/>
  <c r="F159" i="1"/>
  <c r="D160" i="1"/>
  <c r="E160" i="1"/>
  <c r="F160" i="1"/>
  <c r="D161" i="1"/>
  <c r="G161" i="1" s="1"/>
  <c r="E161" i="1"/>
  <c r="F161" i="1"/>
  <c r="D162" i="1"/>
  <c r="E162" i="1"/>
  <c r="F162" i="1"/>
  <c r="D163" i="1"/>
  <c r="E163" i="1"/>
  <c r="F163" i="1"/>
  <c r="D164" i="1"/>
  <c r="E164" i="1"/>
  <c r="F164" i="1"/>
  <c r="D165" i="1"/>
  <c r="G165" i="1" s="1"/>
  <c r="E165" i="1"/>
  <c r="F165" i="1"/>
  <c r="D166" i="1"/>
  <c r="E166" i="1"/>
  <c r="F166" i="1"/>
  <c r="D167" i="1"/>
  <c r="E167" i="1"/>
  <c r="F167" i="1"/>
  <c r="D168" i="1"/>
  <c r="E168" i="1"/>
  <c r="F168" i="1"/>
  <c r="D169" i="1"/>
  <c r="G169" i="1" s="1"/>
  <c r="E169" i="1"/>
  <c r="F169" i="1"/>
  <c r="D170" i="1"/>
  <c r="E170" i="1"/>
  <c r="F170" i="1"/>
  <c r="D171" i="1"/>
  <c r="E171" i="1"/>
  <c r="F171" i="1"/>
  <c r="D172" i="1"/>
  <c r="E172" i="1"/>
  <c r="F172" i="1"/>
  <c r="D173" i="1"/>
  <c r="G173" i="1" s="1"/>
  <c r="E173" i="1"/>
  <c r="F173" i="1"/>
  <c r="D174" i="1"/>
  <c r="E174" i="1"/>
  <c r="F174" i="1"/>
  <c r="D175" i="1"/>
  <c r="E175" i="1"/>
  <c r="F175" i="1"/>
  <c r="D176" i="1"/>
  <c r="E176" i="1"/>
  <c r="F176" i="1"/>
  <c r="D177" i="1"/>
  <c r="G177" i="1" s="1"/>
  <c r="E177" i="1"/>
  <c r="F177" i="1"/>
  <c r="D178" i="1"/>
  <c r="E178" i="1"/>
  <c r="F178" i="1"/>
  <c r="D179" i="1"/>
  <c r="E179" i="1"/>
  <c r="F179" i="1"/>
  <c r="D180" i="1"/>
  <c r="E180" i="1"/>
  <c r="F180" i="1"/>
  <c r="D181" i="1"/>
  <c r="G181" i="1" s="1"/>
  <c r="E181" i="1"/>
  <c r="F181" i="1"/>
  <c r="D182" i="1"/>
  <c r="E182" i="1"/>
  <c r="F182" i="1"/>
  <c r="D183" i="1"/>
  <c r="E183" i="1"/>
  <c r="F183" i="1"/>
  <c r="D184" i="1"/>
  <c r="E184" i="1"/>
  <c r="F184" i="1"/>
  <c r="D185" i="1"/>
  <c r="G185" i="1" s="1"/>
  <c r="E185" i="1"/>
  <c r="F185" i="1"/>
  <c r="D186" i="1"/>
  <c r="E186" i="1"/>
  <c r="F186" i="1"/>
  <c r="D187" i="1"/>
  <c r="E187" i="1"/>
  <c r="F187" i="1"/>
  <c r="D188" i="1"/>
  <c r="E188" i="1"/>
  <c r="F188" i="1"/>
  <c r="D189" i="1"/>
  <c r="G189" i="1" s="1"/>
  <c r="E189" i="1"/>
  <c r="F189" i="1"/>
  <c r="D190" i="1"/>
  <c r="E190" i="1"/>
  <c r="F190" i="1"/>
  <c r="D191" i="1"/>
  <c r="E191" i="1"/>
  <c r="F191" i="1"/>
  <c r="D192" i="1"/>
  <c r="E192" i="1"/>
  <c r="F192" i="1"/>
  <c r="D193" i="1"/>
  <c r="G193" i="1" s="1"/>
  <c r="E193" i="1"/>
  <c r="F193" i="1"/>
  <c r="D194" i="1"/>
  <c r="E194" i="1"/>
  <c r="F194" i="1"/>
  <c r="D195" i="1"/>
  <c r="E195" i="1"/>
  <c r="F195" i="1"/>
  <c r="D196" i="1"/>
  <c r="E196" i="1"/>
  <c r="F196" i="1"/>
  <c r="D197" i="1"/>
  <c r="G197" i="1" s="1"/>
  <c r="E197" i="1"/>
  <c r="F197" i="1"/>
  <c r="D198" i="1"/>
  <c r="E198" i="1"/>
  <c r="F198" i="1"/>
  <c r="D199" i="1"/>
  <c r="E199" i="1"/>
  <c r="F199" i="1"/>
  <c r="D200" i="1"/>
  <c r="E200" i="1"/>
  <c r="F200" i="1"/>
  <c r="D201" i="1"/>
  <c r="G201" i="1" s="1"/>
  <c r="E201" i="1"/>
  <c r="F201" i="1"/>
  <c r="D202" i="1"/>
  <c r="E202" i="1"/>
  <c r="F202" i="1"/>
  <c r="D203" i="1"/>
  <c r="E203" i="1"/>
  <c r="F203" i="1"/>
  <c r="D204" i="1"/>
  <c r="E204" i="1"/>
  <c r="F204" i="1"/>
  <c r="D205" i="1"/>
  <c r="G205" i="1" s="1"/>
  <c r="E205" i="1"/>
  <c r="F205" i="1"/>
  <c r="D206" i="1"/>
  <c r="E206" i="1"/>
  <c r="F206" i="1"/>
  <c r="D207" i="1"/>
  <c r="E207" i="1"/>
  <c r="F207" i="1"/>
  <c r="D208" i="1"/>
  <c r="E208" i="1"/>
  <c r="F208" i="1"/>
  <c r="D209" i="1"/>
  <c r="G209" i="1" s="1"/>
  <c r="E209" i="1"/>
  <c r="F209" i="1"/>
  <c r="D210" i="1"/>
  <c r="E210" i="1"/>
  <c r="F210" i="1"/>
  <c r="D211" i="1"/>
  <c r="E211" i="1"/>
  <c r="F211" i="1"/>
  <c r="D212" i="1"/>
  <c r="E212" i="1"/>
  <c r="F212" i="1"/>
  <c r="D213" i="1"/>
  <c r="G213" i="1" s="1"/>
  <c r="E213" i="1"/>
  <c r="F213" i="1"/>
  <c r="D214" i="1"/>
  <c r="E214" i="1"/>
  <c r="F214" i="1"/>
  <c r="D215" i="1"/>
  <c r="E215" i="1"/>
  <c r="F215" i="1"/>
  <c r="D216" i="1"/>
  <c r="E216" i="1"/>
  <c r="F216" i="1"/>
  <c r="D217" i="1"/>
  <c r="G217" i="1" s="1"/>
  <c r="E217" i="1"/>
  <c r="F217" i="1"/>
  <c r="D218" i="1"/>
  <c r="E218" i="1"/>
  <c r="F218" i="1"/>
  <c r="D219" i="1"/>
  <c r="E219" i="1"/>
  <c r="F219" i="1"/>
  <c r="D220" i="1"/>
  <c r="E220" i="1"/>
  <c r="F220" i="1"/>
  <c r="D221" i="1"/>
  <c r="G221" i="1" s="1"/>
  <c r="E221" i="1"/>
  <c r="F221" i="1"/>
  <c r="D222" i="1"/>
  <c r="E222" i="1"/>
  <c r="F222" i="1"/>
  <c r="D223" i="1"/>
  <c r="E223" i="1"/>
  <c r="F223" i="1"/>
  <c r="D224" i="1"/>
  <c r="E224" i="1"/>
  <c r="F224" i="1"/>
  <c r="D225" i="1"/>
  <c r="G225" i="1" s="1"/>
  <c r="E225" i="1"/>
  <c r="F225" i="1"/>
  <c r="D226" i="1"/>
  <c r="E226" i="1"/>
  <c r="F226" i="1"/>
  <c r="D227" i="1"/>
  <c r="E227" i="1"/>
  <c r="F227" i="1"/>
  <c r="D228" i="1"/>
  <c r="E228" i="1"/>
  <c r="F228" i="1"/>
  <c r="D229" i="1"/>
  <c r="G229" i="1" s="1"/>
  <c r="E229" i="1"/>
  <c r="F229" i="1"/>
  <c r="D230" i="1"/>
  <c r="E230" i="1"/>
  <c r="F230" i="1"/>
  <c r="D231" i="1"/>
  <c r="E231" i="1"/>
  <c r="F231" i="1"/>
  <c r="D232" i="1"/>
  <c r="E232" i="1"/>
  <c r="F232" i="1"/>
  <c r="D233" i="1"/>
  <c r="G233" i="1" s="1"/>
  <c r="E233" i="1"/>
  <c r="F233" i="1"/>
  <c r="D234" i="1"/>
  <c r="E234" i="1"/>
  <c r="F234" i="1"/>
  <c r="D235" i="1"/>
  <c r="E235" i="1"/>
  <c r="F235" i="1"/>
  <c r="D236" i="1"/>
  <c r="E236" i="1"/>
  <c r="F236" i="1"/>
  <c r="D237" i="1"/>
  <c r="G237" i="1" s="1"/>
  <c r="E237" i="1"/>
  <c r="F237" i="1"/>
  <c r="D238" i="1"/>
  <c r="E238" i="1"/>
  <c r="F238" i="1"/>
  <c r="D239" i="1"/>
  <c r="E239" i="1"/>
  <c r="F239" i="1"/>
  <c r="D240" i="1"/>
  <c r="E240" i="1"/>
  <c r="F240" i="1"/>
  <c r="D241" i="1"/>
  <c r="G241" i="1" s="1"/>
  <c r="E241" i="1"/>
  <c r="F24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D78" i="1"/>
  <c r="D79" i="1"/>
  <c r="D80" i="1"/>
  <c r="D81" i="1"/>
  <c r="G81" i="1" s="1"/>
  <c r="D82" i="1"/>
  <c r="D83" i="1"/>
  <c r="D84" i="1"/>
  <c r="D85" i="1"/>
  <c r="G85" i="1" s="1"/>
  <c r="D86" i="1"/>
  <c r="D87" i="1"/>
  <c r="D88" i="1"/>
  <c r="D89" i="1"/>
  <c r="G89" i="1" s="1"/>
  <c r="D90" i="1"/>
  <c r="D91" i="1"/>
  <c r="D92" i="1"/>
  <c r="D93" i="1"/>
  <c r="G93" i="1" s="1"/>
  <c r="D94" i="1"/>
  <c r="D95" i="1"/>
  <c r="D96" i="1"/>
  <c r="D97" i="1"/>
  <c r="G97" i="1" s="1"/>
  <c r="D98" i="1"/>
  <c r="D99" i="1"/>
  <c r="D100" i="1"/>
  <c r="D101" i="1"/>
  <c r="G101" i="1" s="1"/>
  <c r="D55" i="1"/>
  <c r="G55" i="1" s="1"/>
  <c r="D56" i="1"/>
  <c r="H56" i="1" s="1"/>
  <c r="D57" i="1"/>
  <c r="G57" i="1" s="1"/>
  <c r="D58" i="1"/>
  <c r="G58" i="1" s="1"/>
  <c r="D59" i="1"/>
  <c r="G59" i="1" s="1"/>
  <c r="D60" i="1"/>
  <c r="H60" i="1" s="1"/>
  <c r="D61" i="1"/>
  <c r="G61" i="1" s="1"/>
  <c r="D62" i="1"/>
  <c r="G62" i="1" s="1"/>
  <c r="D63" i="1"/>
  <c r="G63" i="1" s="1"/>
  <c r="D64" i="1"/>
  <c r="H64" i="1" s="1"/>
  <c r="D65" i="1"/>
  <c r="G65" i="1" s="1"/>
  <c r="D66" i="1"/>
  <c r="G66" i="1" s="1"/>
  <c r="D67" i="1"/>
  <c r="G67" i="1" s="1"/>
  <c r="D68" i="1"/>
  <c r="G68" i="1" s="1"/>
  <c r="D69" i="1"/>
  <c r="G69" i="1" s="1"/>
  <c r="D70" i="1"/>
  <c r="G70" i="1" s="1"/>
  <c r="D71" i="1"/>
  <c r="G71" i="1" s="1"/>
  <c r="D72" i="1"/>
  <c r="H72" i="1" s="1"/>
  <c r="D73" i="1"/>
  <c r="G73" i="1" s="1"/>
  <c r="D74" i="1"/>
  <c r="G74" i="1" s="1"/>
  <c r="D75" i="1"/>
  <c r="G75" i="1" s="1"/>
  <c r="D76" i="1"/>
  <c r="H76" i="1" s="1"/>
  <c r="D77" i="1"/>
  <c r="G77" i="1" s="1"/>
  <c r="D42" i="1"/>
  <c r="G42" i="1" s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G50" i="1" s="1"/>
  <c r="D51" i="1"/>
  <c r="G51" i="1" s="1"/>
  <c r="D52" i="1"/>
  <c r="H52" i="1" s="1"/>
  <c r="D53" i="1"/>
  <c r="G53" i="1" s="1"/>
  <c r="D54" i="1"/>
  <c r="G54" i="1" s="1"/>
  <c r="D29" i="1"/>
  <c r="D30" i="1"/>
  <c r="D31" i="1"/>
  <c r="D32" i="1"/>
  <c r="G32" i="1" s="1"/>
  <c r="D33" i="1"/>
  <c r="D34" i="1"/>
  <c r="D35" i="1"/>
  <c r="D36" i="1"/>
  <c r="G36" i="1" s="1"/>
  <c r="D37" i="1"/>
  <c r="D38" i="1"/>
  <c r="D39" i="1"/>
  <c r="D40" i="1"/>
  <c r="G40" i="1" s="1"/>
  <c r="D4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  <c r="G239" i="1" l="1"/>
  <c r="G235" i="1"/>
  <c r="G231" i="1"/>
  <c r="G227" i="1"/>
  <c r="G223" i="1"/>
  <c r="G219" i="1"/>
  <c r="G215" i="1"/>
  <c r="G211" i="1"/>
  <c r="G207" i="1"/>
  <c r="G203" i="1"/>
  <c r="G199" i="1"/>
  <c r="G195" i="1"/>
  <c r="G191" i="1"/>
  <c r="G187" i="1"/>
  <c r="G183" i="1"/>
  <c r="G179" i="1"/>
  <c r="G175" i="1"/>
  <c r="G171" i="1"/>
  <c r="G167" i="1"/>
  <c r="G163" i="1"/>
  <c r="G159" i="1"/>
  <c r="G155" i="1"/>
  <c r="G151" i="1"/>
  <c r="G147" i="1"/>
  <c r="G143" i="1"/>
  <c r="G139" i="1"/>
  <c r="G135" i="1"/>
  <c r="G131" i="1"/>
  <c r="G127" i="1"/>
  <c r="G123" i="1"/>
  <c r="G119" i="1"/>
  <c r="G28" i="1"/>
  <c r="H27" i="1"/>
  <c r="G137" i="1"/>
  <c r="G133" i="1"/>
  <c r="G129" i="1"/>
  <c r="G125" i="1"/>
  <c r="G121" i="1"/>
  <c r="G117" i="1"/>
  <c r="G113" i="1"/>
  <c r="G109" i="1"/>
  <c r="G105" i="1"/>
  <c r="H236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06" i="1"/>
  <c r="G102" i="1"/>
  <c r="G100" i="1"/>
  <c r="G96" i="1"/>
  <c r="G88" i="1"/>
  <c r="G84" i="1"/>
  <c r="G80" i="1"/>
  <c r="G240" i="1"/>
  <c r="H237" i="1"/>
  <c r="G236" i="1"/>
  <c r="G232" i="1"/>
  <c r="G228" i="1"/>
  <c r="G224" i="1"/>
  <c r="G220" i="1"/>
  <c r="G216" i="1"/>
  <c r="G212" i="1"/>
  <c r="G208" i="1"/>
  <c r="G204" i="1"/>
  <c r="G200" i="1"/>
  <c r="G196" i="1"/>
  <c r="G192" i="1"/>
  <c r="G188" i="1"/>
  <c r="G184" i="1"/>
  <c r="G180" i="1"/>
  <c r="G176" i="1"/>
  <c r="G172" i="1"/>
  <c r="G168" i="1"/>
  <c r="G164" i="1"/>
  <c r="G160" i="1"/>
  <c r="G156" i="1"/>
  <c r="G152" i="1"/>
  <c r="G148" i="1"/>
  <c r="G144" i="1"/>
  <c r="G140" i="1"/>
  <c r="G136" i="1"/>
  <c r="G132" i="1"/>
  <c r="G128" i="1"/>
  <c r="G124" i="1"/>
  <c r="G120" i="1"/>
  <c r="G116" i="1"/>
  <c r="G112" i="1"/>
  <c r="G108" i="1"/>
  <c r="G104" i="1"/>
  <c r="G238" i="1"/>
  <c r="G234" i="1"/>
  <c r="G230" i="1"/>
  <c r="G226" i="1"/>
  <c r="G222" i="1"/>
  <c r="G218" i="1"/>
  <c r="G214" i="1"/>
  <c r="G210" i="1"/>
  <c r="G206" i="1"/>
  <c r="G202" i="1"/>
  <c r="G198" i="1"/>
  <c r="G194" i="1"/>
  <c r="G190" i="1"/>
  <c r="G186" i="1"/>
  <c r="G182" i="1"/>
  <c r="G178" i="1"/>
  <c r="G174" i="1"/>
  <c r="G170" i="1"/>
  <c r="G166" i="1"/>
  <c r="G162" i="1"/>
  <c r="G158" i="1"/>
  <c r="G154" i="1"/>
  <c r="G150" i="1"/>
  <c r="G146" i="1"/>
  <c r="G142" i="1"/>
  <c r="G138" i="1"/>
  <c r="G134" i="1"/>
  <c r="G130" i="1"/>
  <c r="G126" i="1"/>
  <c r="H122" i="1"/>
  <c r="G118" i="1"/>
  <c r="H115" i="1"/>
  <c r="G114" i="1"/>
  <c r="G110" i="1"/>
  <c r="H107" i="1"/>
  <c r="G106" i="1"/>
  <c r="G115" i="1"/>
  <c r="G111" i="1"/>
  <c r="G107" i="1"/>
  <c r="G103" i="1"/>
  <c r="H118" i="1"/>
  <c r="H117" i="1"/>
  <c r="H235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3" i="1"/>
  <c r="H119" i="1"/>
  <c r="H116" i="1"/>
  <c r="H126" i="1"/>
  <c r="H120" i="1"/>
  <c r="H114" i="1"/>
  <c r="H112" i="1"/>
  <c r="H110" i="1"/>
  <c r="H238" i="1"/>
  <c r="H226" i="1"/>
  <c r="H218" i="1"/>
  <c r="H210" i="1"/>
  <c r="H202" i="1"/>
  <c r="H194" i="1"/>
  <c r="H186" i="1"/>
  <c r="H178" i="1"/>
  <c r="H170" i="1"/>
  <c r="H162" i="1"/>
  <c r="H154" i="1"/>
  <c r="H146" i="1"/>
  <c r="H138" i="1"/>
  <c r="G122" i="1"/>
  <c r="H121" i="1"/>
  <c r="H125" i="1"/>
  <c r="H109" i="1"/>
  <c r="H103" i="1"/>
  <c r="H102" i="1"/>
  <c r="H240" i="1"/>
  <c r="H239" i="1"/>
  <c r="H230" i="1"/>
  <c r="H228" i="1"/>
  <c r="H227" i="1"/>
  <c r="H222" i="1"/>
  <c r="H220" i="1"/>
  <c r="H219" i="1"/>
  <c r="H214" i="1"/>
  <c r="H212" i="1"/>
  <c r="H211" i="1"/>
  <c r="H206" i="1"/>
  <c r="H204" i="1"/>
  <c r="H203" i="1"/>
  <c r="H198" i="1"/>
  <c r="H196" i="1"/>
  <c r="H195" i="1"/>
  <c r="H190" i="1"/>
  <c r="H188" i="1"/>
  <c r="H187" i="1"/>
  <c r="H182" i="1"/>
  <c r="H180" i="1"/>
  <c r="H179" i="1"/>
  <c r="H174" i="1"/>
  <c r="H172" i="1"/>
  <c r="H171" i="1"/>
  <c r="H166" i="1"/>
  <c r="H164" i="1"/>
  <c r="H163" i="1"/>
  <c r="H158" i="1"/>
  <c r="H156" i="1"/>
  <c r="H155" i="1"/>
  <c r="H150" i="1"/>
  <c r="H148" i="1"/>
  <c r="H147" i="1"/>
  <c r="H142" i="1"/>
  <c r="H140" i="1"/>
  <c r="H139" i="1"/>
  <c r="H134" i="1"/>
  <c r="H132" i="1"/>
  <c r="H131" i="1"/>
  <c r="H127" i="1"/>
  <c r="H124" i="1"/>
  <c r="H113" i="1"/>
  <c r="H111" i="1"/>
  <c r="H108" i="1"/>
  <c r="H229" i="1"/>
  <c r="H225" i="1"/>
  <c r="H209" i="1"/>
  <c r="H205" i="1"/>
  <c r="H193" i="1"/>
  <c r="H185" i="1"/>
  <c r="H177" i="1"/>
  <c r="H173" i="1"/>
  <c r="H169" i="1"/>
  <c r="H165" i="1"/>
  <c r="H161" i="1"/>
  <c r="H157" i="1"/>
  <c r="H153" i="1"/>
  <c r="H133" i="1"/>
  <c r="H234" i="1"/>
  <c r="H105" i="1"/>
  <c r="H130" i="1"/>
  <c r="H221" i="1"/>
  <c r="H217" i="1"/>
  <c r="H213" i="1"/>
  <c r="H201" i="1"/>
  <c r="H197" i="1"/>
  <c r="H189" i="1"/>
  <c r="H181" i="1"/>
  <c r="H149" i="1"/>
  <c r="H145" i="1"/>
  <c r="H141" i="1"/>
  <c r="H137" i="1"/>
  <c r="H241" i="1"/>
  <c r="H233" i="1"/>
  <c r="H104" i="1"/>
  <c r="H129" i="1"/>
  <c r="H232" i="1"/>
  <c r="G41" i="1"/>
  <c r="G37" i="1"/>
  <c r="G33" i="1"/>
  <c r="G29" i="1"/>
  <c r="G92" i="1"/>
  <c r="G39" i="1"/>
  <c r="G35" i="1"/>
  <c r="G31" i="1"/>
  <c r="H38" i="1"/>
  <c r="H34" i="1"/>
  <c r="H30" i="1"/>
  <c r="G99" i="1"/>
  <c r="G95" i="1"/>
  <c r="G91" i="1"/>
  <c r="G87" i="1"/>
  <c r="G83" i="1"/>
  <c r="G79" i="1"/>
  <c r="G98" i="1"/>
  <c r="G94" i="1"/>
  <c r="G90" i="1"/>
  <c r="G86" i="1"/>
  <c r="G82" i="1"/>
  <c r="G78" i="1"/>
  <c r="H100" i="1"/>
  <c r="H92" i="1"/>
  <c r="H84" i="1"/>
  <c r="H74" i="1"/>
  <c r="H58" i="1"/>
  <c r="H42" i="1"/>
  <c r="H98" i="1"/>
  <c r="H90" i="1"/>
  <c r="H82" i="1"/>
  <c r="H70" i="1"/>
  <c r="H54" i="1"/>
  <c r="H40" i="1"/>
  <c r="H96" i="1"/>
  <c r="H88" i="1"/>
  <c r="H80" i="1"/>
  <c r="H66" i="1"/>
  <c r="H50" i="1"/>
  <c r="H36" i="1"/>
  <c r="H94" i="1"/>
  <c r="H86" i="1"/>
  <c r="H78" i="1"/>
  <c r="H62" i="1"/>
  <c r="H46" i="1"/>
  <c r="H32" i="1"/>
  <c r="H68" i="1"/>
  <c r="H48" i="1"/>
  <c r="H44" i="1"/>
  <c r="G76" i="1"/>
  <c r="G72" i="1"/>
  <c r="G64" i="1"/>
  <c r="G60" i="1"/>
  <c r="G56" i="1"/>
  <c r="G52" i="1"/>
  <c r="G38" i="1"/>
  <c r="G34" i="1"/>
  <c r="G30" i="1"/>
  <c r="H101" i="1"/>
  <c r="H99" i="1"/>
  <c r="H97" i="1"/>
  <c r="H95" i="1"/>
  <c r="H93" i="1"/>
  <c r="H91" i="1"/>
  <c r="H89" i="1"/>
  <c r="H87" i="1"/>
  <c r="H85" i="1"/>
  <c r="H83" i="1"/>
  <c r="H81" i="1"/>
  <c r="H79" i="1"/>
  <c r="H77" i="1"/>
  <c r="H75" i="1"/>
  <c r="H73" i="1"/>
  <c r="H71" i="1"/>
  <c r="H69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1" i="1"/>
  <c r="H39" i="1"/>
  <c r="H37" i="1"/>
  <c r="H35" i="1"/>
  <c r="H33" i="1"/>
  <c r="H31" i="1"/>
  <c r="H29" i="1"/>
  <c r="H28" i="1"/>
  <c r="G27" i="1"/>
  <c r="H26" i="1" l="1"/>
  <c r="G26" i="1"/>
  <c r="H25" i="1"/>
  <c r="G25" i="1"/>
  <c r="H24" i="1" l="1"/>
  <c r="G24" i="1"/>
  <c r="H23" i="1"/>
  <c r="G23" i="1"/>
  <c r="H22" i="1"/>
  <c r="G22" i="1"/>
  <c r="H21" i="1"/>
  <c r="G21" i="1"/>
  <c r="H20" i="1"/>
  <c r="G20" i="1"/>
  <c r="H18" i="1"/>
  <c r="G18" i="1"/>
  <c r="H19" i="1"/>
  <c r="G19" i="1"/>
  <c r="H17" i="1"/>
  <c r="G17" i="1"/>
  <c r="H15" i="1"/>
  <c r="G15" i="1"/>
  <c r="H16" i="1"/>
  <c r="G16" i="1"/>
  <c r="H14" i="1"/>
  <c r="G14" i="1"/>
  <c r="H12" i="1"/>
  <c r="G12" i="1"/>
  <c r="H13" i="1"/>
  <c r="G13" i="1"/>
  <c r="H11" i="1"/>
  <c r="G11" i="1"/>
  <c r="G10" i="1"/>
  <c r="H10" i="1"/>
  <c r="G4" i="1"/>
  <c r="H4" i="1"/>
  <c r="G5" i="1"/>
  <c r="H5" i="1"/>
  <c r="G6" i="1"/>
  <c r="H6" i="1"/>
  <c r="G7" i="1"/>
  <c r="H7" i="1"/>
  <c r="G8" i="1"/>
  <c r="H8" i="1"/>
  <c r="G9" i="1"/>
  <c r="H9" i="1"/>
  <c r="H3" i="1"/>
  <c r="G3" i="1"/>
  <c r="G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孙艺航</author>
  </authors>
  <commentList>
    <comment ref="C10" authorId="0" shapeId="0" xr:uid="{E3523990-F51F-4586-8413-A97BC97A0A28}">
      <text>
        <r>
          <rPr>
            <b/>
            <sz val="18"/>
            <color indexed="81"/>
            <rFont val="宋体"/>
            <family val="3"/>
            <charset val="134"/>
          </rPr>
          <t>USERELATIONSHIP来激活虚线关系</t>
        </r>
      </text>
    </comment>
    <comment ref="C26" authorId="0" shapeId="0" xr:uid="{CE9AD0CD-10CC-4703-A697-E049C60413C3}">
      <text>
        <r>
          <rPr>
            <b/>
            <sz val="14"/>
            <color indexed="81"/>
            <rFont val="宋体"/>
            <family val="3"/>
            <charset val="134"/>
          </rPr>
          <t>NATURALINNERJOIN找出两个列表的交集，例如同时购买了这两种产品的客户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<sst xmlns="http://schemas.openxmlformats.org/spreadsheetml/2006/main" count="282" uniqueCount="158">
  <si>
    <t>日期</t>
    <phoneticPr fontId="1" type="noConversion"/>
  </si>
  <si>
    <t>A2020301001</t>
    <phoneticPr fontId="1" type="noConversion"/>
  </si>
  <si>
    <t>销售金额</t>
    <phoneticPr fontId="1" type="noConversion"/>
  </si>
  <si>
    <t>毛利额</t>
    <phoneticPr fontId="1" type="noConversion"/>
  </si>
  <si>
    <t>售价</t>
    <phoneticPr fontId="1" type="noConversion"/>
  </si>
  <si>
    <t>进价</t>
    <phoneticPr fontId="1" type="noConversion"/>
  </si>
  <si>
    <t>A2020301002</t>
    <phoneticPr fontId="1" type="noConversion"/>
  </si>
  <si>
    <t>A2020301003</t>
    <phoneticPr fontId="1" type="noConversion"/>
  </si>
  <si>
    <t>A2020301004</t>
    <phoneticPr fontId="1" type="noConversion"/>
  </si>
  <si>
    <t>A2020301005</t>
    <phoneticPr fontId="1" type="noConversion"/>
  </si>
  <si>
    <t>A2020301006</t>
    <phoneticPr fontId="1" type="noConversion"/>
  </si>
  <si>
    <t>A2020301007</t>
    <phoneticPr fontId="1" type="noConversion"/>
  </si>
  <si>
    <t>A2020301008</t>
    <phoneticPr fontId="1" type="noConversion"/>
  </si>
  <si>
    <t>A2020301009</t>
    <phoneticPr fontId="1" type="noConversion"/>
  </si>
  <si>
    <t>A2020301010</t>
    <phoneticPr fontId="1" type="noConversion"/>
  </si>
  <si>
    <t>A2020301011</t>
    <phoneticPr fontId="1" type="noConversion"/>
  </si>
  <si>
    <t>A2020301012</t>
    <phoneticPr fontId="1" type="noConversion"/>
  </si>
  <si>
    <t>A2020301013</t>
  </si>
  <si>
    <t>鸡蛋</t>
  </si>
  <si>
    <t>西红柿</t>
  </si>
  <si>
    <t>菠菜</t>
  </si>
  <si>
    <t>卫生纸</t>
  </si>
  <si>
    <t>豆角</t>
  </si>
  <si>
    <t>黄瓜</t>
  </si>
  <si>
    <t>A2020302001</t>
    <phoneticPr fontId="1" type="noConversion"/>
  </si>
  <si>
    <t>A2020302002</t>
  </si>
  <si>
    <t>A2020302003</t>
  </si>
  <si>
    <t>A2020302004</t>
  </si>
  <si>
    <t>A2020302005</t>
  </si>
  <si>
    <t>A2020302006</t>
  </si>
  <si>
    <t>A2020302007</t>
  </si>
  <si>
    <t>A2020302008</t>
  </si>
  <si>
    <t>A2020302009</t>
  </si>
  <si>
    <t>A2020302010</t>
  </si>
  <si>
    <t>A2020302011</t>
  </si>
  <si>
    <t>A2020302012</t>
  </si>
  <si>
    <t>A2020302013</t>
  </si>
  <si>
    <t>A2020302014</t>
  </si>
  <si>
    <t>A2020302015</t>
  </si>
  <si>
    <t>A2020302016</t>
  </si>
  <si>
    <t>A2020302017</t>
  </si>
  <si>
    <t>A2020302018</t>
  </si>
  <si>
    <t>A2020302018</t>
    <phoneticPr fontId="1" type="noConversion"/>
  </si>
  <si>
    <t>星期</t>
    <phoneticPr fontId="1" type="noConversion"/>
  </si>
  <si>
    <t>周日</t>
    <phoneticPr fontId="1" type="noConversion"/>
  </si>
  <si>
    <t>周一</t>
    <phoneticPr fontId="1" type="noConversion"/>
  </si>
  <si>
    <t>小票流水号</t>
    <phoneticPr fontId="1" type="noConversion"/>
  </si>
  <si>
    <t>销售数量</t>
    <phoneticPr fontId="1" type="noConversion"/>
  </si>
  <si>
    <t>A2020302019</t>
  </si>
  <si>
    <t>A2020301014</t>
  </si>
  <si>
    <t>A2020301015</t>
  </si>
  <si>
    <t>A2020301016</t>
  </si>
  <si>
    <t>A2020301017</t>
  </si>
  <si>
    <t>A2020301018</t>
  </si>
  <si>
    <t>A2020301019</t>
  </si>
  <si>
    <t>A2020301020</t>
  </si>
  <si>
    <t>A2020301021</t>
  </si>
  <si>
    <t>A2020301022</t>
  </si>
  <si>
    <t>A2020301023</t>
  </si>
  <si>
    <t>A2020301024</t>
  </si>
  <si>
    <t>A2020301025</t>
  </si>
  <si>
    <t>A2020301026</t>
  </si>
  <si>
    <t>A2020301027</t>
  </si>
  <si>
    <t>A2020301028</t>
  </si>
  <si>
    <t>A2020301029</t>
  </si>
  <si>
    <t>A2020301030</t>
  </si>
  <si>
    <t>A2020301031</t>
  </si>
  <si>
    <t>A2020301032</t>
  </si>
  <si>
    <t>A2020301033</t>
  </si>
  <si>
    <t>A2020301034</t>
  </si>
  <si>
    <t>A2020301035</t>
  </si>
  <si>
    <t>A2020301036</t>
  </si>
  <si>
    <t>A2020301037</t>
  </si>
  <si>
    <t>A2020301038</t>
  </si>
  <si>
    <t>A2020301039</t>
  </si>
  <si>
    <t>A2020301040</t>
  </si>
  <si>
    <t>A2020301041</t>
  </si>
  <si>
    <t>A2020301042</t>
  </si>
  <si>
    <t>A2020301043</t>
  </si>
  <si>
    <t>A2020301044</t>
  </si>
  <si>
    <t>A2020301045</t>
  </si>
  <si>
    <t>A2020301046</t>
  </si>
  <si>
    <t>A2020301047</t>
  </si>
  <si>
    <t>A2020301048</t>
  </si>
  <si>
    <t>A2020301049</t>
  </si>
  <si>
    <t>A2020301050</t>
  </si>
  <si>
    <t>A2020302020</t>
  </si>
  <si>
    <t>A2020302021</t>
  </si>
  <si>
    <t>A2020302022</t>
  </si>
  <si>
    <t>A2020302023</t>
  </si>
  <si>
    <t>A2020302024</t>
  </si>
  <si>
    <t>A2020302025</t>
  </si>
  <si>
    <t>A2020302026</t>
  </si>
  <si>
    <t>A2020302027</t>
  </si>
  <si>
    <t>A2020302028</t>
  </si>
  <si>
    <t>A2020302029</t>
  </si>
  <si>
    <t>A2020302030</t>
  </si>
  <si>
    <t>A2020302031</t>
  </si>
  <si>
    <t>A2020302032</t>
  </si>
  <si>
    <t>A2020302033</t>
  </si>
  <si>
    <t>A2020302034</t>
  </si>
  <si>
    <t>A2020302035</t>
  </si>
  <si>
    <t>A2020302036</t>
  </si>
  <si>
    <t>A2020302037</t>
  </si>
  <si>
    <t>A2020302038</t>
  </si>
  <si>
    <t>A2020302039</t>
  </si>
  <si>
    <t>A2020302040</t>
  </si>
  <si>
    <t>A2020302041</t>
  </si>
  <si>
    <t>A2020302042</t>
  </si>
  <si>
    <t>A2020302043</t>
  </si>
  <si>
    <t>A2020302044</t>
  </si>
  <si>
    <t>A2020302045</t>
  </si>
  <si>
    <t>A2020302046</t>
  </si>
  <si>
    <t>A2020302047</t>
  </si>
  <si>
    <t>A2020302048</t>
  </si>
  <si>
    <t>A2020302049</t>
  </si>
  <si>
    <t>A2020302050</t>
  </si>
  <si>
    <t>A2020302051</t>
  </si>
  <si>
    <t>A2020302052</t>
  </si>
  <si>
    <t>A2020302053</t>
  </si>
  <si>
    <t>A2020302054</t>
  </si>
  <si>
    <t>A2020302055</t>
  </si>
  <si>
    <t>A2020302056</t>
  </si>
  <si>
    <t>A2020302057</t>
  </si>
  <si>
    <t>A2020302058</t>
  </si>
  <si>
    <t>A2020302059</t>
  </si>
  <si>
    <t>A2020302060</t>
  </si>
  <si>
    <t>A2020302061</t>
  </si>
  <si>
    <t>A2020302062</t>
  </si>
  <si>
    <t>A2020302063</t>
  </si>
  <si>
    <t>A2020302064</t>
  </si>
  <si>
    <t>A2020302065</t>
  </si>
  <si>
    <t>A2020302066</t>
  </si>
  <si>
    <t>A2020302067</t>
  </si>
  <si>
    <t>A2020302068</t>
  </si>
  <si>
    <t>A2020302069</t>
  </si>
  <si>
    <t>A2020302070</t>
  </si>
  <si>
    <t>商品编码</t>
    <phoneticPr fontId="1" type="noConversion"/>
  </si>
  <si>
    <t>商品名称</t>
    <phoneticPr fontId="1" type="noConversion"/>
  </si>
  <si>
    <t>人数 = COUNTROWS(VALUES('销售表'[小票流水号] ))</t>
    <phoneticPr fontId="1" type="noConversion"/>
  </si>
  <si>
    <t>新建表</t>
    <phoneticPr fontId="1" type="noConversion"/>
  </si>
  <si>
    <t>小票流水 = Values('销售表'[小票流水号])</t>
    <phoneticPr fontId="1" type="noConversion"/>
  </si>
  <si>
    <t>虚拟表</t>
    <phoneticPr fontId="1" type="noConversion"/>
  </si>
  <si>
    <t>关联商品表 = '商品表'</t>
    <phoneticPr fontId="1" type="noConversion"/>
  </si>
  <si>
    <t>因为要分析买了某一商品的顾客还买了其它什么商品？</t>
    <phoneticPr fontId="1" type="noConversion"/>
  </si>
  <si>
    <t>关系视图里缺少一个唯一值的小票流水号</t>
    <phoneticPr fontId="1" type="noConversion"/>
  </si>
  <si>
    <t>将商品表里面的商品名称放到矩阵中，接下来计算一下购买商品的顾客人数</t>
    <phoneticPr fontId="1" type="noConversion"/>
  </si>
  <si>
    <t>做一个切片器，将关系商品表中的商品名称做筛选条件</t>
    <phoneticPr fontId="1" type="noConversion"/>
  </si>
  <si>
    <t>重点：</t>
    <phoneticPr fontId="1" type="noConversion"/>
  </si>
  <si>
    <t>计算A和B同时购买的人数</t>
    <phoneticPr fontId="1" type="noConversion"/>
  </si>
  <si>
    <t>度量值</t>
    <phoneticPr fontId="1" type="noConversion"/>
  </si>
  <si>
    <t>A和B = VAR a=CALCULATETABLE(VALUES('销售表'[小票流水号]),USERELATIONSHIP('关联商品表'[商品编码],'销售表'[商品编码]),ALL('商品表'))        
return calculate([人数],a)</t>
    <phoneticPr fontId="1" type="noConversion"/>
  </si>
  <si>
    <t>计算占比</t>
    <phoneticPr fontId="1" type="noConversion"/>
  </si>
  <si>
    <t>占比 = divide([A和B],[人数] )</t>
    <phoneticPr fontId="1" type="noConversion"/>
  </si>
  <si>
    <t>将以上度量值放入矩阵</t>
    <phoneticPr fontId="1" type="noConversion"/>
  </si>
  <si>
    <t>A销售金额 = SUM('销售表'[销售金额] )</t>
    <phoneticPr fontId="1" type="noConversion"/>
  </si>
  <si>
    <t>B销售金额 = CALCULATE([A销售金额],USERELATIONSHIP('关联商品表'[商品编码],'销售表'[商品编码]),ALL('商品表'))</t>
    <phoneticPr fontId="1" type="noConversion"/>
  </si>
  <si>
    <t>A和B金额 = 
var b = CALCULATETABLE(VALUES('销售表'[小票流水号]))
var c = CALCULATETABLE(VALUES('销售表'[小票流水号]),USERELATIONSHIP('关联商品表'[商品编码],'销售表'[商品编码]),ALL('商品表'))
return
calculate([B销售金额],NATURALINNERJOIN(b,c))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</si>
</sst>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18"/>
      <color indexed="81"/>
      <name val="宋体"/>
      <family val="3"/>
      <charset val="134"/>
    </font>
    <font>
      <b/>
      <sz val="14"/>
      <color indexed="81"/>
      <name val="宋体"/>
      <family val="3"/>
      <charset val="134"/>
    </font>
    <font>
      <b/>
      <sz val="11"/>
      <color theme="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2DD8-88D1-4763-A04A-59A075C73D5F}">
  <dimension ref="A1:C30"/>
  <sheetViews>
    <sheetView topLeftCell="A7" workbookViewId="0">
      <selection activeCell="F15" sqref="F15"/>
    </sheetView>
  </sheetViews>
  <sheetFormatPr defaultRowHeight="14.25" x14ac:dyDescent="0.2"/>
  <cols>
    <col min="1" max="1" width="14.875" style="1" customWidth="1"/>
    <col min="2" max="2" width="30.5" style="1" bestFit="1" customWidth="1"/>
    <col min="3" max="3" width="138.75" customWidth="1"/>
  </cols>
  <sheetData>
    <row r="1" spans="1:3" ht="18" x14ac:dyDescent="0.25">
      <c r="A1" s="5" t="s">
        <v>145</v>
      </c>
      <c r="B1" s="6"/>
      <c r="C1" s="7"/>
    </row>
    <row r="2" spans="1:3" ht="18" x14ac:dyDescent="0.25">
      <c r="A2" s="6">
        <v>1</v>
      </c>
      <c r="B2" s="6" t="s">
        <v>140</v>
      </c>
      <c r="C2" s="7" t="s">
        <v>141</v>
      </c>
    </row>
    <row r="3" spans="1:3" ht="18" x14ac:dyDescent="0.25">
      <c r="A3" s="5" t="s">
        <v>144</v>
      </c>
      <c r="B3" s="6"/>
      <c r="C3" s="7"/>
    </row>
    <row r="4" spans="1:3" ht="18" x14ac:dyDescent="0.25">
      <c r="A4" s="6">
        <v>2</v>
      </c>
      <c r="B4" s="6" t="s">
        <v>142</v>
      </c>
      <c r="C4" s="7" t="s">
        <v>143</v>
      </c>
    </row>
    <row r="5" spans="1:3" ht="18" x14ac:dyDescent="0.25">
      <c r="A5" s="5" t="s">
        <v>146</v>
      </c>
      <c r="B5" s="6"/>
      <c r="C5" s="7"/>
    </row>
    <row r="6" spans="1:3" ht="18" x14ac:dyDescent="0.25">
      <c r="A6" s="6">
        <v>3</v>
      </c>
      <c r="B6" s="6" t="s">
        <v>150</v>
      </c>
      <c r="C6" s="7" t="s">
        <v>139</v>
      </c>
    </row>
    <row r="7" spans="1:3" ht="18" x14ac:dyDescent="0.25">
      <c r="A7" s="5" t="s">
        <v>147</v>
      </c>
      <c r="B7" s="6"/>
      <c r="C7" s="7"/>
    </row>
    <row r="8" spans="1:3" ht="18" x14ac:dyDescent="0.25">
      <c r="A8" s="6"/>
      <c r="B8" s="6"/>
      <c r="C8" s="7"/>
    </row>
    <row r="9" spans="1:3" ht="18" x14ac:dyDescent="0.25">
      <c r="A9" s="6" t="s">
        <v>148</v>
      </c>
      <c r="B9" s="5" t="s">
        <v>149</v>
      </c>
      <c r="C9" s="7"/>
    </row>
    <row r="10" spans="1:3" ht="18" x14ac:dyDescent="0.2">
      <c r="A10" s="6">
        <v>4</v>
      </c>
      <c r="B10" s="6" t="s">
        <v>150</v>
      </c>
      <c r="C10" s="3" t="s">
        <v>151</v>
      </c>
    </row>
    <row r="11" spans="1:3" ht="18" x14ac:dyDescent="0.2">
      <c r="A11" s="6"/>
      <c r="B11" s="6"/>
      <c r="C11" s="4"/>
    </row>
    <row r="12" spans="1:3" ht="18" x14ac:dyDescent="0.2">
      <c r="A12" s="6"/>
      <c r="B12" s="6"/>
      <c r="C12" s="4"/>
    </row>
    <row r="13" spans="1:3" ht="18" x14ac:dyDescent="0.2">
      <c r="A13" s="6"/>
      <c r="B13" s="6"/>
      <c r="C13" s="4"/>
    </row>
    <row r="14" spans="1:3" ht="18" x14ac:dyDescent="0.2">
      <c r="A14" s="6"/>
      <c r="B14" s="6"/>
      <c r="C14" s="4"/>
    </row>
    <row r="15" spans="1:3" ht="18" x14ac:dyDescent="0.2">
      <c r="A15" s="6"/>
      <c r="B15" s="6"/>
      <c r="C15" s="4"/>
    </row>
    <row r="16" spans="1:3" ht="18" x14ac:dyDescent="0.2">
      <c r="A16" s="6"/>
      <c r="B16" s="6"/>
      <c r="C16" s="4"/>
    </row>
    <row r="17" spans="1:3" ht="18" x14ac:dyDescent="0.2">
      <c r="A17" s="6"/>
      <c r="B17" s="6"/>
      <c r="C17" s="4"/>
    </row>
    <row r="18" spans="1:3" ht="18" x14ac:dyDescent="0.2">
      <c r="A18" s="6"/>
      <c r="B18" s="6"/>
      <c r="C18" s="4"/>
    </row>
    <row r="19" spans="1:3" ht="18" x14ac:dyDescent="0.2">
      <c r="A19" s="6"/>
      <c r="B19" s="6"/>
      <c r="C19" s="4"/>
    </row>
    <row r="20" spans="1:3" ht="18" x14ac:dyDescent="0.2">
      <c r="A20" s="6"/>
      <c r="B20" s="6"/>
      <c r="C20" s="4"/>
    </row>
    <row r="21" spans="1:3" ht="18" x14ac:dyDescent="0.2">
      <c r="A21" s="6"/>
      <c r="B21" s="6"/>
      <c r="C21" s="4"/>
    </row>
    <row r="22" spans="1:3" ht="18" x14ac:dyDescent="0.25">
      <c r="A22" s="6">
        <v>5</v>
      </c>
      <c r="B22" s="6" t="s">
        <v>152</v>
      </c>
      <c r="C22" s="7" t="s">
        <v>153</v>
      </c>
    </row>
    <row r="23" spans="1:3" ht="18" x14ac:dyDescent="0.25">
      <c r="A23" s="6">
        <v>6</v>
      </c>
      <c r="B23" s="6" t="s">
        <v>154</v>
      </c>
      <c r="C23" s="7"/>
    </row>
    <row r="24" spans="1:3" ht="18" x14ac:dyDescent="0.25">
      <c r="A24" s="6">
        <v>7</v>
      </c>
      <c r="B24" s="6"/>
      <c r="C24" s="7" t="s">
        <v>155</v>
      </c>
    </row>
    <row r="25" spans="1:3" ht="18" x14ac:dyDescent="0.25">
      <c r="A25" s="6">
        <v>8</v>
      </c>
      <c r="B25" s="6"/>
      <c r="C25" s="7" t="s">
        <v>156</v>
      </c>
    </row>
    <row r="26" spans="1:3" ht="108" x14ac:dyDescent="0.25">
      <c r="A26" s="6">
        <v>9</v>
      </c>
      <c r="B26" s="6"/>
      <c r="C26" s="8" t="s">
        <v>157</v>
      </c>
    </row>
    <row r="27" spans="1:3" ht="18" x14ac:dyDescent="0.25">
      <c r="A27" s="6"/>
      <c r="B27" s="6"/>
      <c r="C27" s="7"/>
    </row>
    <row r="28" spans="1:3" ht="18" x14ac:dyDescent="0.25">
      <c r="A28" s="6"/>
      <c r="B28" s="6"/>
      <c r="C28" s="7"/>
    </row>
    <row r="29" spans="1:3" ht="18" x14ac:dyDescent="0.25">
      <c r="A29" s="6"/>
      <c r="B29" s="6"/>
      <c r="C29" s="7"/>
    </row>
    <row r="30" spans="1:3" ht="18" x14ac:dyDescent="0.25">
      <c r="A30" s="6"/>
      <c r="B30" s="6"/>
      <c r="C30" s="7"/>
    </row>
  </sheetData>
  <mergeCells count="1">
    <mergeCell ref="C10:C21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9AD7-59FE-4790-8937-ACE452ECC7CE}">
  <dimension ref="A1:D7"/>
  <sheetViews>
    <sheetView tabSelected="1" workbookViewId="0">
      <selection activeCell="N8" sqref="N8"/>
    </sheetView>
  </sheetViews>
  <sheetFormatPr defaultRowHeight="14.25" x14ac:dyDescent="0.2"/>
  <cols>
    <col min="1" max="2" width="10.25" style="1" customWidth="1"/>
  </cols>
  <sheetData>
    <row r="1" spans="1:4" x14ac:dyDescent="0.2">
      <c r="A1" s="9" t="s">
        <v>137</v>
      </c>
      <c r="B1" s="10" t="s">
        <v>138</v>
      </c>
      <c r="C1" s="10" t="s">
        <v>4</v>
      </c>
      <c r="D1" s="11" t="s">
        <v>5</v>
      </c>
    </row>
    <row r="2" spans="1:4" x14ac:dyDescent="0.2">
      <c r="A2" s="12">
        <v>101</v>
      </c>
      <c r="B2" s="13" t="s">
        <v>18</v>
      </c>
      <c r="C2" s="13">
        <v>2.5</v>
      </c>
      <c r="D2" s="14">
        <v>3</v>
      </c>
    </row>
    <row r="3" spans="1:4" x14ac:dyDescent="0.2">
      <c r="A3" s="15">
        <v>102</v>
      </c>
      <c r="B3" s="16" t="s">
        <v>19</v>
      </c>
      <c r="C3" s="16">
        <v>7.9</v>
      </c>
      <c r="D3" s="17">
        <v>5</v>
      </c>
    </row>
    <row r="4" spans="1:4" x14ac:dyDescent="0.2">
      <c r="A4" s="12">
        <v>103</v>
      </c>
      <c r="B4" s="13" t="s">
        <v>20</v>
      </c>
      <c r="C4" s="13">
        <v>3.5</v>
      </c>
      <c r="D4" s="14">
        <v>2.5</v>
      </c>
    </row>
    <row r="5" spans="1:4" x14ac:dyDescent="0.2">
      <c r="A5" s="15">
        <v>104</v>
      </c>
      <c r="B5" s="16" t="s">
        <v>21</v>
      </c>
      <c r="C5" s="16">
        <v>19.899999999999999</v>
      </c>
      <c r="D5" s="17">
        <v>17.899999999999999</v>
      </c>
    </row>
    <row r="6" spans="1:4" x14ac:dyDescent="0.2">
      <c r="A6" s="12">
        <v>105</v>
      </c>
      <c r="B6" s="13" t="s">
        <v>22</v>
      </c>
      <c r="C6" s="13">
        <v>8.8000000000000007</v>
      </c>
      <c r="D6" s="14">
        <v>6.8</v>
      </c>
    </row>
    <row r="7" spans="1:4" x14ac:dyDescent="0.2">
      <c r="A7" s="18">
        <v>106</v>
      </c>
      <c r="B7" s="19" t="s">
        <v>23</v>
      </c>
      <c r="C7" s="19">
        <v>5.9</v>
      </c>
      <c r="D7" s="20">
        <v>3.9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441E-B46A-4403-AEBF-7304D6CA1EEE}">
  <dimension ref="A1:B3"/>
  <sheetViews>
    <sheetView workbookViewId="0">
      <selection activeCell="C1" sqref="C1:D3"/>
    </sheetView>
  </sheetViews>
  <sheetFormatPr defaultRowHeight="14.25" x14ac:dyDescent="0.2"/>
  <cols>
    <col min="2" max="2" width="9" style="1"/>
  </cols>
  <sheetData>
    <row r="1" spans="1:2" x14ac:dyDescent="0.2">
      <c r="A1" s="1" t="s">
        <v>0</v>
      </c>
      <c r="B1" s="1" t="s">
        <v>43</v>
      </c>
    </row>
    <row r="2" spans="1:2" x14ac:dyDescent="0.2">
      <c r="A2" s="2">
        <v>43891</v>
      </c>
      <c r="B2" s="1" t="s">
        <v>44</v>
      </c>
    </row>
    <row r="3" spans="1:2" x14ac:dyDescent="0.2">
      <c r="A3" s="2">
        <v>43892</v>
      </c>
      <c r="B3" s="1" t="s">
        <v>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workbookViewId="0">
      <selection activeCell="C2" sqref="C2"/>
    </sheetView>
  </sheetViews>
  <sheetFormatPr defaultRowHeight="14.25" x14ac:dyDescent="0.2"/>
  <cols>
    <col min="1" max="1" width="9" style="1"/>
    <col min="2" max="2" width="13" style="1" bestFit="1" customWidth="1"/>
    <col min="3" max="8" width="9" style="1"/>
    <col min="14" max="14" width="13" bestFit="1" customWidth="1"/>
  </cols>
  <sheetData>
    <row r="1" spans="1:8" x14ac:dyDescent="0.2">
      <c r="A1" s="1" t="s">
        <v>0</v>
      </c>
      <c r="B1" s="1" t="s">
        <v>46</v>
      </c>
      <c r="C1" s="1" t="s">
        <v>137</v>
      </c>
      <c r="D1" s="1" t="s">
        <v>47</v>
      </c>
      <c r="E1" s="1" t="s">
        <v>4</v>
      </c>
      <c r="F1" s="1" t="s">
        <v>5</v>
      </c>
      <c r="G1" s="1" t="s">
        <v>2</v>
      </c>
      <c r="H1" s="1" t="s">
        <v>3</v>
      </c>
    </row>
    <row r="2" spans="1:8" x14ac:dyDescent="0.2">
      <c r="A2" s="2">
        <v>43891</v>
      </c>
      <c r="B2" s="1" t="s">
        <v>1</v>
      </c>
      <c r="C2" s="1">
        <v>101</v>
      </c>
      <c r="D2" s="1">
        <f ca="1">RANDBETWEEN(3,10)</f>
        <v>10</v>
      </c>
      <c r="E2" s="1">
        <f>VLOOKUP(C2,商品表!A:C,3,0)</f>
        <v>2.5</v>
      </c>
      <c r="F2" s="1">
        <f>VLOOKUP(C2,商品表!A:D,4,0)</f>
        <v>3</v>
      </c>
      <c r="G2" s="1">
        <f ca="1">D2*E2</f>
        <v>25</v>
      </c>
      <c r="H2" s="1">
        <f ca="1">D2*(E2-F2)</f>
        <v>-5</v>
      </c>
    </row>
    <row r="3" spans="1:8" x14ac:dyDescent="0.2">
      <c r="A3" s="2">
        <v>43891</v>
      </c>
      <c r="B3" s="1" t="s">
        <v>1</v>
      </c>
      <c r="C3" s="1">
        <v>102</v>
      </c>
      <c r="D3" s="1">
        <f t="shared" ref="D3:D66" ca="1" si="0">RANDBETWEEN(3,10)</f>
        <v>6</v>
      </c>
      <c r="E3" s="1">
        <f>VLOOKUP(C3,商品表!A:C,3,0)</f>
        <v>7.9</v>
      </c>
      <c r="F3" s="1">
        <f>VLOOKUP(C3,商品表!A:D,4,0)</f>
        <v>5</v>
      </c>
      <c r="G3" s="1">
        <f ca="1">D3*E3</f>
        <v>47.400000000000006</v>
      </c>
      <c r="H3" s="1">
        <f ca="1">D3*(E3-F3)</f>
        <v>17.400000000000002</v>
      </c>
    </row>
    <row r="4" spans="1:8" x14ac:dyDescent="0.2">
      <c r="A4" s="2">
        <v>43891</v>
      </c>
      <c r="B4" s="1" t="s">
        <v>6</v>
      </c>
      <c r="C4" s="1">
        <v>101</v>
      </c>
      <c r="D4" s="1">
        <f t="shared" ca="1" si="0"/>
        <v>7</v>
      </c>
      <c r="E4" s="1">
        <f>VLOOKUP(C4,商品表!A:C,3,0)</f>
        <v>2.5</v>
      </c>
      <c r="F4" s="1">
        <f>VLOOKUP(C4,商品表!A:D,4,0)</f>
        <v>3</v>
      </c>
      <c r="G4" s="1">
        <f t="shared" ref="G4:G9" ca="1" si="1">D4*E4</f>
        <v>17.5</v>
      </c>
      <c r="H4" s="1">
        <f t="shared" ref="H4:H9" ca="1" si="2">D4*(E4-F4)</f>
        <v>-3.5</v>
      </c>
    </row>
    <row r="5" spans="1:8" x14ac:dyDescent="0.2">
      <c r="A5" s="2">
        <v>43891</v>
      </c>
      <c r="B5" s="1" t="s">
        <v>7</v>
      </c>
      <c r="C5" s="1">
        <v>101</v>
      </c>
      <c r="D5" s="1">
        <f t="shared" ca="1" si="0"/>
        <v>7</v>
      </c>
      <c r="E5" s="1">
        <f>VLOOKUP(C5,商品表!A:C,3,0)</f>
        <v>2.5</v>
      </c>
      <c r="F5" s="1">
        <f>VLOOKUP(C5,商品表!A:D,4,0)</f>
        <v>3</v>
      </c>
      <c r="G5" s="1">
        <f t="shared" ca="1" si="1"/>
        <v>17.5</v>
      </c>
      <c r="H5" s="1">
        <f t="shared" ca="1" si="2"/>
        <v>-3.5</v>
      </c>
    </row>
    <row r="6" spans="1:8" x14ac:dyDescent="0.2">
      <c r="A6" s="2">
        <v>43891</v>
      </c>
      <c r="B6" s="1" t="s">
        <v>7</v>
      </c>
      <c r="C6" s="1">
        <v>103</v>
      </c>
      <c r="D6" s="1">
        <f t="shared" ca="1" si="0"/>
        <v>4</v>
      </c>
      <c r="E6" s="1">
        <f>VLOOKUP(C6,商品表!A:C,3,0)</f>
        <v>3.5</v>
      </c>
      <c r="F6" s="1">
        <f>VLOOKUP(C6,商品表!A:D,4,0)</f>
        <v>2.5</v>
      </c>
      <c r="G6" s="1">
        <f t="shared" ca="1" si="1"/>
        <v>14</v>
      </c>
      <c r="H6" s="1">
        <f t="shared" ca="1" si="2"/>
        <v>4</v>
      </c>
    </row>
    <row r="7" spans="1:8" x14ac:dyDescent="0.2">
      <c r="A7" s="2">
        <v>43891</v>
      </c>
      <c r="B7" s="1" t="s">
        <v>8</v>
      </c>
      <c r="C7" s="1">
        <v>101</v>
      </c>
      <c r="D7" s="1">
        <f t="shared" ca="1" si="0"/>
        <v>5</v>
      </c>
      <c r="E7" s="1">
        <f>VLOOKUP(C7,商品表!A:C,3,0)</f>
        <v>2.5</v>
      </c>
      <c r="F7" s="1">
        <f>VLOOKUP(C7,商品表!A:D,4,0)</f>
        <v>3</v>
      </c>
      <c r="G7" s="1">
        <f t="shared" ca="1" si="1"/>
        <v>12.5</v>
      </c>
      <c r="H7" s="1">
        <f t="shared" ca="1" si="2"/>
        <v>-2.5</v>
      </c>
    </row>
    <row r="8" spans="1:8" x14ac:dyDescent="0.2">
      <c r="A8" s="2">
        <v>43891</v>
      </c>
      <c r="B8" s="1" t="s">
        <v>8</v>
      </c>
      <c r="C8" s="1">
        <v>104</v>
      </c>
      <c r="D8" s="1">
        <f t="shared" ca="1" si="0"/>
        <v>7</v>
      </c>
      <c r="E8" s="1">
        <f>VLOOKUP(C8,商品表!A:C,3,0)</f>
        <v>19.899999999999999</v>
      </c>
      <c r="F8" s="1">
        <f>VLOOKUP(C8,商品表!A:D,4,0)</f>
        <v>17.899999999999999</v>
      </c>
      <c r="G8" s="1">
        <f t="shared" ca="1" si="1"/>
        <v>139.29999999999998</v>
      </c>
      <c r="H8" s="1">
        <f t="shared" ca="1" si="2"/>
        <v>14</v>
      </c>
    </row>
    <row r="9" spans="1:8" x14ac:dyDescent="0.2">
      <c r="A9" s="2">
        <v>43891</v>
      </c>
      <c r="B9" s="1" t="s">
        <v>9</v>
      </c>
      <c r="C9" s="1">
        <v>101</v>
      </c>
      <c r="D9" s="1">
        <f t="shared" ca="1" si="0"/>
        <v>9</v>
      </c>
      <c r="E9" s="1">
        <f>VLOOKUP(C9,商品表!A:C,3,0)</f>
        <v>2.5</v>
      </c>
      <c r="F9" s="1">
        <f>VLOOKUP(C9,商品表!A:D,4,0)</f>
        <v>3</v>
      </c>
      <c r="G9" s="1">
        <f t="shared" ca="1" si="1"/>
        <v>22.5</v>
      </c>
      <c r="H9" s="1">
        <f t="shared" ca="1" si="2"/>
        <v>-4.5</v>
      </c>
    </row>
    <row r="10" spans="1:8" x14ac:dyDescent="0.2">
      <c r="A10" s="2">
        <v>43891</v>
      </c>
      <c r="B10" s="1" t="s">
        <v>9</v>
      </c>
      <c r="C10" s="1">
        <v>102</v>
      </c>
      <c r="D10" s="1">
        <f t="shared" ca="1" si="0"/>
        <v>3</v>
      </c>
      <c r="E10" s="1">
        <f>VLOOKUP(C10,商品表!A:C,3,0)</f>
        <v>7.9</v>
      </c>
      <c r="F10" s="1">
        <f>VLOOKUP(C10,商品表!A:D,4,0)</f>
        <v>5</v>
      </c>
      <c r="G10" s="1">
        <f t="shared" ref="G10:G26" ca="1" si="3">D10*E10</f>
        <v>23.700000000000003</v>
      </c>
      <c r="H10" s="1">
        <f t="shared" ref="H10:H26" ca="1" si="4">D10*(E10-F10)</f>
        <v>8.7000000000000011</v>
      </c>
    </row>
    <row r="11" spans="1:8" x14ac:dyDescent="0.2">
      <c r="A11" s="2">
        <v>43891</v>
      </c>
      <c r="B11" s="1" t="s">
        <v>10</v>
      </c>
      <c r="C11" s="1">
        <v>101</v>
      </c>
      <c r="D11" s="1">
        <f t="shared" ca="1" si="0"/>
        <v>9</v>
      </c>
      <c r="E11" s="1">
        <f>VLOOKUP(C11,商品表!A:C,3,0)</f>
        <v>2.5</v>
      </c>
      <c r="F11" s="1">
        <f>VLOOKUP(C11,商品表!A:D,4,0)</f>
        <v>3</v>
      </c>
      <c r="G11" s="1">
        <f t="shared" ca="1" si="3"/>
        <v>22.5</v>
      </c>
      <c r="H11" s="1">
        <f t="shared" ca="1" si="4"/>
        <v>-4.5</v>
      </c>
    </row>
    <row r="12" spans="1:8" x14ac:dyDescent="0.2">
      <c r="A12" s="2">
        <v>43891</v>
      </c>
      <c r="B12" s="1" t="s">
        <v>10</v>
      </c>
      <c r="C12" s="1">
        <v>102</v>
      </c>
      <c r="D12" s="1">
        <f t="shared" ca="1" si="0"/>
        <v>5</v>
      </c>
      <c r="E12" s="1">
        <f>VLOOKUP(C12,商品表!A:C,3,0)</f>
        <v>7.9</v>
      </c>
      <c r="F12" s="1">
        <f>VLOOKUP(C12,商品表!A:D,4,0)</f>
        <v>5</v>
      </c>
      <c r="G12" s="1">
        <f t="shared" ca="1" si="3"/>
        <v>39.5</v>
      </c>
      <c r="H12" s="1">
        <f t="shared" ca="1" si="4"/>
        <v>14.500000000000002</v>
      </c>
    </row>
    <row r="13" spans="1:8" x14ac:dyDescent="0.2">
      <c r="A13" s="2">
        <v>43891</v>
      </c>
      <c r="B13" s="1" t="s">
        <v>11</v>
      </c>
      <c r="C13" s="1">
        <v>101</v>
      </c>
      <c r="D13" s="1">
        <f t="shared" ca="1" si="0"/>
        <v>9</v>
      </c>
      <c r="E13" s="1">
        <f>VLOOKUP(C13,商品表!A:C,3,0)</f>
        <v>2.5</v>
      </c>
      <c r="F13" s="1">
        <f>VLOOKUP(C13,商品表!A:D,4,0)</f>
        <v>3</v>
      </c>
      <c r="G13" s="1">
        <f t="shared" ca="1" si="3"/>
        <v>22.5</v>
      </c>
      <c r="H13" s="1">
        <f t="shared" ca="1" si="4"/>
        <v>-4.5</v>
      </c>
    </row>
    <row r="14" spans="1:8" x14ac:dyDescent="0.2">
      <c r="A14" s="2">
        <v>43891</v>
      </c>
      <c r="B14" s="1" t="s">
        <v>11</v>
      </c>
      <c r="C14" s="1">
        <v>105</v>
      </c>
      <c r="D14" s="1">
        <f t="shared" ca="1" si="0"/>
        <v>6</v>
      </c>
      <c r="E14" s="1">
        <f>VLOOKUP(C14,商品表!A:C,3,0)</f>
        <v>8.8000000000000007</v>
      </c>
      <c r="F14" s="1">
        <f>VLOOKUP(C14,商品表!A:D,4,0)</f>
        <v>6.8</v>
      </c>
      <c r="G14" s="1">
        <f t="shared" ca="1" si="3"/>
        <v>52.800000000000004</v>
      </c>
      <c r="H14" s="1">
        <f t="shared" ca="1" si="4"/>
        <v>12.000000000000005</v>
      </c>
    </row>
    <row r="15" spans="1:8" x14ac:dyDescent="0.2">
      <c r="A15" s="2">
        <v>43891</v>
      </c>
      <c r="B15" s="1" t="s">
        <v>12</v>
      </c>
      <c r="C15" s="1">
        <v>101</v>
      </c>
      <c r="D15" s="1">
        <f t="shared" ca="1" si="0"/>
        <v>9</v>
      </c>
      <c r="E15" s="1">
        <f>VLOOKUP(C15,商品表!A:C,3,0)</f>
        <v>2.5</v>
      </c>
      <c r="F15" s="1">
        <f>VLOOKUP(C15,商品表!A:D,4,0)</f>
        <v>3</v>
      </c>
      <c r="G15" s="1">
        <f t="shared" ca="1" si="3"/>
        <v>22.5</v>
      </c>
      <c r="H15" s="1">
        <f t="shared" ca="1" si="4"/>
        <v>-4.5</v>
      </c>
    </row>
    <row r="16" spans="1:8" x14ac:dyDescent="0.2">
      <c r="A16" s="2">
        <v>43891</v>
      </c>
      <c r="B16" s="1" t="s">
        <v>12</v>
      </c>
      <c r="C16" s="1">
        <v>102</v>
      </c>
      <c r="D16" s="1">
        <f t="shared" ca="1" si="0"/>
        <v>6</v>
      </c>
      <c r="E16" s="1">
        <f>VLOOKUP(C16,商品表!A:C,3,0)</f>
        <v>7.9</v>
      </c>
      <c r="F16" s="1">
        <f>VLOOKUP(C16,商品表!A:D,4,0)</f>
        <v>5</v>
      </c>
      <c r="G16" s="1">
        <f t="shared" ca="1" si="3"/>
        <v>47.400000000000006</v>
      </c>
      <c r="H16" s="1">
        <f t="shared" ca="1" si="4"/>
        <v>17.400000000000002</v>
      </c>
    </row>
    <row r="17" spans="1:8" x14ac:dyDescent="0.2">
      <c r="A17" s="2">
        <v>43891</v>
      </c>
      <c r="B17" s="1" t="s">
        <v>13</v>
      </c>
      <c r="C17" s="1">
        <v>101</v>
      </c>
      <c r="D17" s="1">
        <f t="shared" ca="1" si="0"/>
        <v>8</v>
      </c>
      <c r="E17" s="1">
        <f>VLOOKUP(C17,商品表!A:C,3,0)</f>
        <v>2.5</v>
      </c>
      <c r="F17" s="1">
        <f>VLOOKUP(C17,商品表!A:D,4,0)</f>
        <v>3</v>
      </c>
      <c r="G17" s="1">
        <f t="shared" ca="1" si="3"/>
        <v>20</v>
      </c>
      <c r="H17" s="1">
        <f t="shared" ca="1" si="4"/>
        <v>-4</v>
      </c>
    </row>
    <row r="18" spans="1:8" x14ac:dyDescent="0.2">
      <c r="A18" s="2">
        <v>43891</v>
      </c>
      <c r="B18" s="1" t="s">
        <v>13</v>
      </c>
      <c r="C18" s="1">
        <v>106</v>
      </c>
      <c r="D18" s="1">
        <f t="shared" ca="1" si="0"/>
        <v>5</v>
      </c>
      <c r="E18" s="1">
        <f>VLOOKUP(C18,商品表!A:C,3,0)</f>
        <v>5.9</v>
      </c>
      <c r="F18" s="1">
        <f>VLOOKUP(C18,商品表!A:D,4,0)</f>
        <v>3.9</v>
      </c>
      <c r="G18" s="1">
        <f t="shared" ca="1" si="3"/>
        <v>29.5</v>
      </c>
      <c r="H18" s="1">
        <f t="shared" ca="1" si="4"/>
        <v>10.000000000000002</v>
      </c>
    </row>
    <row r="19" spans="1:8" x14ac:dyDescent="0.2">
      <c r="A19" s="2">
        <v>43891</v>
      </c>
      <c r="B19" s="1" t="s">
        <v>14</v>
      </c>
      <c r="C19" s="1">
        <v>101</v>
      </c>
      <c r="D19" s="1">
        <f t="shared" ca="1" si="0"/>
        <v>7</v>
      </c>
      <c r="E19" s="1">
        <f>VLOOKUP(C19,商品表!A:C,3,0)</f>
        <v>2.5</v>
      </c>
      <c r="F19" s="1">
        <f>VLOOKUP(C19,商品表!A:D,4,0)</f>
        <v>3</v>
      </c>
      <c r="G19" s="1">
        <f t="shared" ca="1" si="3"/>
        <v>17.5</v>
      </c>
      <c r="H19" s="1">
        <f t="shared" ca="1" si="4"/>
        <v>-3.5</v>
      </c>
    </row>
    <row r="20" spans="1:8" x14ac:dyDescent="0.2">
      <c r="A20" s="2">
        <v>43891</v>
      </c>
      <c r="B20" s="1" t="s">
        <v>14</v>
      </c>
      <c r="C20" s="1">
        <v>106</v>
      </c>
      <c r="D20" s="1">
        <f t="shared" ca="1" si="0"/>
        <v>10</v>
      </c>
      <c r="E20" s="1">
        <f>VLOOKUP(C20,商品表!A:C,3,0)</f>
        <v>5.9</v>
      </c>
      <c r="F20" s="1">
        <f>VLOOKUP(C20,商品表!A:D,4,0)</f>
        <v>3.9</v>
      </c>
      <c r="G20" s="1">
        <f t="shared" ca="1" si="3"/>
        <v>59</v>
      </c>
      <c r="H20" s="1">
        <f t="shared" ca="1" si="4"/>
        <v>20.000000000000004</v>
      </c>
    </row>
    <row r="21" spans="1:8" x14ac:dyDescent="0.2">
      <c r="A21" s="2">
        <v>43891</v>
      </c>
      <c r="B21" s="1" t="s">
        <v>15</v>
      </c>
      <c r="C21" s="1">
        <v>101</v>
      </c>
      <c r="D21" s="1">
        <f t="shared" ca="1" si="0"/>
        <v>7</v>
      </c>
      <c r="E21" s="1">
        <f>VLOOKUP(C21,商品表!A:C,3,0)</f>
        <v>2.5</v>
      </c>
      <c r="F21" s="1">
        <f>VLOOKUP(C21,商品表!A:D,4,0)</f>
        <v>3</v>
      </c>
      <c r="G21" s="1">
        <f t="shared" ca="1" si="3"/>
        <v>17.5</v>
      </c>
      <c r="H21" s="1">
        <f t="shared" ca="1" si="4"/>
        <v>-3.5</v>
      </c>
    </row>
    <row r="22" spans="1:8" x14ac:dyDescent="0.2">
      <c r="A22" s="2">
        <v>43891</v>
      </c>
      <c r="B22" s="1" t="s">
        <v>15</v>
      </c>
      <c r="C22" s="1">
        <v>106</v>
      </c>
      <c r="D22" s="1">
        <f t="shared" ca="1" si="0"/>
        <v>5</v>
      </c>
      <c r="E22" s="1">
        <f>VLOOKUP(C22,商品表!A:C,3,0)</f>
        <v>5.9</v>
      </c>
      <c r="F22" s="1">
        <f>VLOOKUP(C22,商品表!A:D,4,0)</f>
        <v>3.9</v>
      </c>
      <c r="G22" s="1">
        <f t="shared" ca="1" si="3"/>
        <v>29.5</v>
      </c>
      <c r="H22" s="1">
        <f t="shared" ca="1" si="4"/>
        <v>10.000000000000002</v>
      </c>
    </row>
    <row r="23" spans="1:8" x14ac:dyDescent="0.2">
      <c r="A23" s="2">
        <v>43891</v>
      </c>
      <c r="B23" s="1" t="s">
        <v>16</v>
      </c>
      <c r="C23" s="1">
        <v>101</v>
      </c>
      <c r="D23" s="1">
        <f t="shared" ca="1" si="0"/>
        <v>7</v>
      </c>
      <c r="E23" s="1">
        <f>VLOOKUP(C23,商品表!A:C,3,0)</f>
        <v>2.5</v>
      </c>
      <c r="F23" s="1">
        <f>VLOOKUP(C23,商品表!A:D,4,0)</f>
        <v>3</v>
      </c>
      <c r="G23" s="1">
        <f t="shared" ca="1" si="3"/>
        <v>17.5</v>
      </c>
      <c r="H23" s="1">
        <f t="shared" ca="1" si="4"/>
        <v>-3.5</v>
      </c>
    </row>
    <row r="24" spans="1:8" x14ac:dyDescent="0.2">
      <c r="A24" s="2">
        <v>43891</v>
      </c>
      <c r="B24" s="1" t="s">
        <v>16</v>
      </c>
      <c r="C24" s="1">
        <v>106</v>
      </c>
      <c r="D24" s="1">
        <f t="shared" ca="1" si="0"/>
        <v>6</v>
      </c>
      <c r="E24" s="1">
        <f>VLOOKUP(C24,商品表!A:C,3,0)</f>
        <v>5.9</v>
      </c>
      <c r="F24" s="1">
        <f>VLOOKUP(C24,商品表!A:D,4,0)</f>
        <v>3.9</v>
      </c>
      <c r="G24" s="1">
        <f t="shared" ca="1" si="3"/>
        <v>35.400000000000006</v>
      </c>
      <c r="H24" s="1">
        <f t="shared" ca="1" si="4"/>
        <v>12.000000000000004</v>
      </c>
    </row>
    <row r="25" spans="1:8" x14ac:dyDescent="0.2">
      <c r="A25" s="2">
        <v>43891</v>
      </c>
      <c r="B25" s="1" t="s">
        <v>17</v>
      </c>
      <c r="C25" s="1">
        <v>103</v>
      </c>
      <c r="D25" s="1">
        <f t="shared" ca="1" si="0"/>
        <v>9</v>
      </c>
      <c r="E25" s="1">
        <f>VLOOKUP(C25,商品表!A:C,3,0)</f>
        <v>3.5</v>
      </c>
      <c r="F25" s="1">
        <f>VLOOKUP(C25,商品表!A:D,4,0)</f>
        <v>2.5</v>
      </c>
      <c r="G25" s="1">
        <f t="shared" ca="1" si="3"/>
        <v>31.5</v>
      </c>
      <c r="H25" s="1">
        <f t="shared" ca="1" si="4"/>
        <v>9</v>
      </c>
    </row>
    <row r="26" spans="1:8" x14ac:dyDescent="0.2">
      <c r="A26" s="2">
        <v>43891</v>
      </c>
      <c r="B26" s="1" t="s">
        <v>17</v>
      </c>
      <c r="C26" s="1">
        <v>104</v>
      </c>
      <c r="D26" s="1">
        <f t="shared" ca="1" si="0"/>
        <v>5</v>
      </c>
      <c r="E26" s="1">
        <f>VLOOKUP(C26,商品表!A:C,3,0)</f>
        <v>19.899999999999999</v>
      </c>
      <c r="F26" s="1">
        <f>VLOOKUP(C26,商品表!A:D,4,0)</f>
        <v>17.899999999999999</v>
      </c>
      <c r="G26" s="1">
        <f t="shared" ca="1" si="3"/>
        <v>99.5</v>
      </c>
      <c r="H26" s="1">
        <f t="shared" ca="1" si="4"/>
        <v>10</v>
      </c>
    </row>
    <row r="27" spans="1:8" x14ac:dyDescent="0.2">
      <c r="A27" s="2">
        <v>43891</v>
      </c>
      <c r="B27" s="1" t="s">
        <v>49</v>
      </c>
      <c r="C27" s="1">
        <v>101</v>
      </c>
      <c r="D27" s="1">
        <f t="shared" ca="1" si="0"/>
        <v>8</v>
      </c>
      <c r="E27" s="1">
        <f>VLOOKUP(C27,商品表!A:C,3,0)</f>
        <v>2.5</v>
      </c>
      <c r="F27" s="1">
        <f>VLOOKUP(C27,商品表!A:D,4,0)</f>
        <v>3</v>
      </c>
      <c r="G27" s="1">
        <f t="shared" ref="G27" ca="1" si="5">D27*E27</f>
        <v>20</v>
      </c>
      <c r="H27" s="1">
        <f t="shared" ref="H27" ca="1" si="6">D27*(E27-F27)</f>
        <v>-4</v>
      </c>
    </row>
    <row r="28" spans="1:8" x14ac:dyDescent="0.2">
      <c r="A28" s="2">
        <v>43891</v>
      </c>
      <c r="B28" s="1" t="s">
        <v>49</v>
      </c>
      <c r="C28" s="1">
        <v>102</v>
      </c>
      <c r="D28" s="1">
        <f t="shared" ca="1" si="0"/>
        <v>10</v>
      </c>
      <c r="E28" s="1">
        <f>VLOOKUP(C28,商品表!A:C,3,0)</f>
        <v>7.9</v>
      </c>
      <c r="F28" s="1">
        <f>VLOOKUP(C28,商品表!A:D,4,0)</f>
        <v>5</v>
      </c>
      <c r="G28" s="1">
        <f ca="1">D28*E28</f>
        <v>79</v>
      </c>
      <c r="H28" s="1">
        <f ca="1">D28*(E28-F28)</f>
        <v>29.000000000000004</v>
      </c>
    </row>
    <row r="29" spans="1:8" x14ac:dyDescent="0.2">
      <c r="A29" s="2">
        <v>43891</v>
      </c>
      <c r="B29" s="1" t="s">
        <v>50</v>
      </c>
      <c r="C29" s="1">
        <v>101</v>
      </c>
      <c r="D29" s="1">
        <f ca="1">RANDBETWEEN(3,10)</f>
        <v>5</v>
      </c>
      <c r="E29" s="1">
        <f>VLOOKUP(C29,商品表!A:C,3,0)</f>
        <v>2.5</v>
      </c>
      <c r="F29" s="1">
        <f>VLOOKUP(C29,商品表!A:D,4,0)</f>
        <v>3</v>
      </c>
      <c r="G29" s="1">
        <f t="shared" ref="G29:G92" ca="1" si="7">D29*E29</f>
        <v>12.5</v>
      </c>
      <c r="H29" s="1">
        <f t="shared" ref="H29:H92" ca="1" si="8">D29*(E29-F29)</f>
        <v>-2.5</v>
      </c>
    </row>
    <row r="30" spans="1:8" x14ac:dyDescent="0.2">
      <c r="A30" s="2">
        <v>43891</v>
      </c>
      <c r="B30" s="1" t="s">
        <v>51</v>
      </c>
      <c r="C30" s="1">
        <v>101</v>
      </c>
      <c r="D30" s="1">
        <f t="shared" ca="1" si="0"/>
        <v>8</v>
      </c>
      <c r="E30" s="1">
        <f>VLOOKUP(C30,商品表!A:C,3,0)</f>
        <v>2.5</v>
      </c>
      <c r="F30" s="1">
        <f>VLOOKUP(C30,商品表!A:D,4,0)</f>
        <v>3</v>
      </c>
      <c r="G30" s="1">
        <f t="shared" ca="1" si="7"/>
        <v>20</v>
      </c>
      <c r="H30" s="1">
        <f t="shared" ca="1" si="8"/>
        <v>-4</v>
      </c>
    </row>
    <row r="31" spans="1:8" x14ac:dyDescent="0.2">
      <c r="A31" s="2">
        <v>43891</v>
      </c>
      <c r="B31" s="1" t="s">
        <v>52</v>
      </c>
      <c r="C31" s="1">
        <v>101</v>
      </c>
      <c r="D31" s="1">
        <f t="shared" ca="1" si="0"/>
        <v>8</v>
      </c>
      <c r="E31" s="1">
        <f>VLOOKUP(C31,商品表!A:C,3,0)</f>
        <v>2.5</v>
      </c>
      <c r="F31" s="1">
        <f>VLOOKUP(C31,商品表!A:D,4,0)</f>
        <v>3</v>
      </c>
      <c r="G31" s="1">
        <f t="shared" ca="1" si="7"/>
        <v>20</v>
      </c>
      <c r="H31" s="1">
        <f t="shared" ca="1" si="8"/>
        <v>-4</v>
      </c>
    </row>
    <row r="32" spans="1:8" x14ac:dyDescent="0.2">
      <c r="A32" s="2">
        <v>43891</v>
      </c>
      <c r="B32" s="1" t="s">
        <v>53</v>
      </c>
      <c r="C32" s="1">
        <v>101</v>
      </c>
      <c r="D32" s="1">
        <f t="shared" ca="1" si="0"/>
        <v>3</v>
      </c>
      <c r="E32" s="1">
        <f>VLOOKUP(C32,商品表!A:C,3,0)</f>
        <v>2.5</v>
      </c>
      <c r="F32" s="1">
        <f>VLOOKUP(C32,商品表!A:D,4,0)</f>
        <v>3</v>
      </c>
      <c r="G32" s="1">
        <f t="shared" ca="1" si="7"/>
        <v>7.5</v>
      </c>
      <c r="H32" s="1">
        <f t="shared" ca="1" si="8"/>
        <v>-1.5</v>
      </c>
    </row>
    <row r="33" spans="1:8" x14ac:dyDescent="0.2">
      <c r="A33" s="2">
        <v>43891</v>
      </c>
      <c r="B33" s="1" t="s">
        <v>54</v>
      </c>
      <c r="C33" s="1">
        <v>101</v>
      </c>
      <c r="D33" s="1">
        <f t="shared" ca="1" si="0"/>
        <v>6</v>
      </c>
      <c r="E33" s="1">
        <f>VLOOKUP(C33,商品表!A:C,3,0)</f>
        <v>2.5</v>
      </c>
      <c r="F33" s="1">
        <f>VLOOKUP(C33,商品表!A:D,4,0)</f>
        <v>3</v>
      </c>
      <c r="G33" s="1">
        <f t="shared" ca="1" si="7"/>
        <v>15</v>
      </c>
      <c r="H33" s="1">
        <f t="shared" ca="1" si="8"/>
        <v>-3</v>
      </c>
    </row>
    <row r="34" spans="1:8" x14ac:dyDescent="0.2">
      <c r="A34" s="2">
        <v>43891</v>
      </c>
      <c r="B34" s="1" t="s">
        <v>55</v>
      </c>
      <c r="C34" s="1">
        <v>101</v>
      </c>
      <c r="D34" s="1">
        <f t="shared" ca="1" si="0"/>
        <v>5</v>
      </c>
      <c r="E34" s="1">
        <f>VLOOKUP(C34,商品表!A:C,3,0)</f>
        <v>2.5</v>
      </c>
      <c r="F34" s="1">
        <f>VLOOKUP(C34,商品表!A:D,4,0)</f>
        <v>3</v>
      </c>
      <c r="G34" s="1">
        <f t="shared" ca="1" si="7"/>
        <v>12.5</v>
      </c>
      <c r="H34" s="1">
        <f t="shared" ca="1" si="8"/>
        <v>-2.5</v>
      </c>
    </row>
    <row r="35" spans="1:8" x14ac:dyDescent="0.2">
      <c r="A35" s="2">
        <v>43891</v>
      </c>
      <c r="B35" s="1" t="s">
        <v>56</v>
      </c>
      <c r="C35" s="1">
        <v>101</v>
      </c>
      <c r="D35" s="1">
        <f t="shared" ca="1" si="0"/>
        <v>4</v>
      </c>
      <c r="E35" s="1">
        <f>VLOOKUP(C35,商品表!A:C,3,0)</f>
        <v>2.5</v>
      </c>
      <c r="F35" s="1">
        <f>VLOOKUP(C35,商品表!A:D,4,0)</f>
        <v>3</v>
      </c>
      <c r="G35" s="1">
        <f t="shared" ca="1" si="7"/>
        <v>10</v>
      </c>
      <c r="H35" s="1">
        <f t="shared" ca="1" si="8"/>
        <v>-2</v>
      </c>
    </row>
    <row r="36" spans="1:8" x14ac:dyDescent="0.2">
      <c r="A36" s="2">
        <v>43891</v>
      </c>
      <c r="B36" s="1" t="s">
        <v>57</v>
      </c>
      <c r="C36" s="1">
        <v>101</v>
      </c>
      <c r="D36" s="1">
        <f t="shared" ca="1" si="0"/>
        <v>8</v>
      </c>
      <c r="E36" s="1">
        <f>VLOOKUP(C36,商品表!A:C,3,0)</f>
        <v>2.5</v>
      </c>
      <c r="F36" s="1">
        <f>VLOOKUP(C36,商品表!A:D,4,0)</f>
        <v>3</v>
      </c>
      <c r="G36" s="1">
        <f t="shared" ca="1" si="7"/>
        <v>20</v>
      </c>
      <c r="H36" s="1">
        <f t="shared" ca="1" si="8"/>
        <v>-4</v>
      </c>
    </row>
    <row r="37" spans="1:8" x14ac:dyDescent="0.2">
      <c r="A37" s="2">
        <v>43891</v>
      </c>
      <c r="B37" s="1" t="s">
        <v>58</v>
      </c>
      <c r="C37" s="1">
        <v>101</v>
      </c>
      <c r="D37" s="1">
        <f t="shared" ca="1" si="0"/>
        <v>6</v>
      </c>
      <c r="E37" s="1">
        <f>VLOOKUP(C37,商品表!A:C,3,0)</f>
        <v>2.5</v>
      </c>
      <c r="F37" s="1">
        <f>VLOOKUP(C37,商品表!A:D,4,0)</f>
        <v>3</v>
      </c>
      <c r="G37" s="1">
        <f t="shared" ca="1" si="7"/>
        <v>15</v>
      </c>
      <c r="H37" s="1">
        <f t="shared" ca="1" si="8"/>
        <v>-3</v>
      </c>
    </row>
    <row r="38" spans="1:8" x14ac:dyDescent="0.2">
      <c r="A38" s="2">
        <v>43891</v>
      </c>
      <c r="B38" s="1" t="s">
        <v>59</v>
      </c>
      <c r="C38" s="1">
        <v>101</v>
      </c>
      <c r="D38" s="1">
        <f t="shared" ca="1" si="0"/>
        <v>9</v>
      </c>
      <c r="E38" s="1">
        <f>VLOOKUP(C38,商品表!A:C,3,0)</f>
        <v>2.5</v>
      </c>
      <c r="F38" s="1">
        <f>VLOOKUP(C38,商品表!A:D,4,0)</f>
        <v>3</v>
      </c>
      <c r="G38" s="1">
        <f t="shared" ca="1" si="7"/>
        <v>22.5</v>
      </c>
      <c r="H38" s="1">
        <f t="shared" ca="1" si="8"/>
        <v>-4.5</v>
      </c>
    </row>
    <row r="39" spans="1:8" x14ac:dyDescent="0.2">
      <c r="A39" s="2">
        <v>43891</v>
      </c>
      <c r="B39" s="1" t="s">
        <v>60</v>
      </c>
      <c r="C39" s="1">
        <v>101</v>
      </c>
      <c r="D39" s="1">
        <f t="shared" ca="1" si="0"/>
        <v>9</v>
      </c>
      <c r="E39" s="1">
        <f>VLOOKUP(C39,商品表!A:C,3,0)</f>
        <v>2.5</v>
      </c>
      <c r="F39" s="1">
        <f>VLOOKUP(C39,商品表!A:D,4,0)</f>
        <v>3</v>
      </c>
      <c r="G39" s="1">
        <f t="shared" ca="1" si="7"/>
        <v>22.5</v>
      </c>
      <c r="H39" s="1">
        <f t="shared" ca="1" si="8"/>
        <v>-4.5</v>
      </c>
    </row>
    <row r="40" spans="1:8" x14ac:dyDescent="0.2">
      <c r="A40" s="2">
        <v>43891</v>
      </c>
      <c r="B40" s="1" t="s">
        <v>61</v>
      </c>
      <c r="C40" s="1">
        <v>101</v>
      </c>
      <c r="D40" s="1">
        <f t="shared" ca="1" si="0"/>
        <v>6</v>
      </c>
      <c r="E40" s="1">
        <f>VLOOKUP(C40,商品表!A:C,3,0)</f>
        <v>2.5</v>
      </c>
      <c r="F40" s="1">
        <f>VLOOKUP(C40,商品表!A:D,4,0)</f>
        <v>3</v>
      </c>
      <c r="G40" s="1">
        <f t="shared" ca="1" si="7"/>
        <v>15</v>
      </c>
      <c r="H40" s="1">
        <f t="shared" ca="1" si="8"/>
        <v>-3</v>
      </c>
    </row>
    <row r="41" spans="1:8" x14ac:dyDescent="0.2">
      <c r="A41" s="2">
        <v>43891</v>
      </c>
      <c r="B41" s="1" t="s">
        <v>62</v>
      </c>
      <c r="C41" s="1">
        <v>101</v>
      </c>
      <c r="D41" s="1">
        <f t="shared" ca="1" si="0"/>
        <v>3</v>
      </c>
      <c r="E41" s="1">
        <f>VLOOKUP(C41,商品表!A:C,3,0)</f>
        <v>2.5</v>
      </c>
      <c r="F41" s="1">
        <f>VLOOKUP(C41,商品表!A:D,4,0)</f>
        <v>3</v>
      </c>
      <c r="G41" s="1">
        <f t="shared" ca="1" si="7"/>
        <v>7.5</v>
      </c>
      <c r="H41" s="1">
        <f t="shared" ca="1" si="8"/>
        <v>-1.5</v>
      </c>
    </row>
    <row r="42" spans="1:8" x14ac:dyDescent="0.2">
      <c r="A42" s="2">
        <v>43891</v>
      </c>
      <c r="B42" s="1" t="s">
        <v>50</v>
      </c>
      <c r="C42" s="1">
        <v>102</v>
      </c>
      <c r="D42" s="1">
        <f t="shared" ca="1" si="0"/>
        <v>7</v>
      </c>
      <c r="E42" s="1">
        <f>VLOOKUP(C42,商品表!A:C,3,0)</f>
        <v>7.9</v>
      </c>
      <c r="F42" s="1">
        <f>VLOOKUP(C42,商品表!A:D,4,0)</f>
        <v>5</v>
      </c>
      <c r="G42" s="1">
        <f t="shared" ca="1" si="7"/>
        <v>55.300000000000004</v>
      </c>
      <c r="H42" s="1">
        <f t="shared" ca="1" si="8"/>
        <v>20.300000000000004</v>
      </c>
    </row>
    <row r="43" spans="1:8" x14ac:dyDescent="0.2">
      <c r="A43" s="2">
        <v>43891</v>
      </c>
      <c r="B43" s="1" t="s">
        <v>51</v>
      </c>
      <c r="C43" s="1">
        <v>103</v>
      </c>
      <c r="D43" s="1">
        <f t="shared" ca="1" si="0"/>
        <v>6</v>
      </c>
      <c r="E43" s="1">
        <f>VLOOKUP(C43,商品表!A:C,3,0)</f>
        <v>3.5</v>
      </c>
      <c r="F43" s="1">
        <f>VLOOKUP(C43,商品表!A:D,4,0)</f>
        <v>2.5</v>
      </c>
      <c r="G43" s="1">
        <f t="shared" ca="1" si="7"/>
        <v>21</v>
      </c>
      <c r="H43" s="1">
        <f t="shared" ca="1" si="8"/>
        <v>6</v>
      </c>
    </row>
    <row r="44" spans="1:8" x14ac:dyDescent="0.2">
      <c r="A44" s="2">
        <v>43891</v>
      </c>
      <c r="B44" s="1" t="s">
        <v>52</v>
      </c>
      <c r="C44" s="1">
        <v>102</v>
      </c>
      <c r="D44" s="1">
        <f t="shared" ca="1" si="0"/>
        <v>10</v>
      </c>
      <c r="E44" s="1">
        <f>VLOOKUP(C44,商品表!A:C,3,0)</f>
        <v>7.9</v>
      </c>
      <c r="F44" s="1">
        <f>VLOOKUP(C44,商品表!A:D,4,0)</f>
        <v>5</v>
      </c>
      <c r="G44" s="1">
        <f t="shared" ca="1" si="7"/>
        <v>79</v>
      </c>
      <c r="H44" s="1">
        <f t="shared" ca="1" si="8"/>
        <v>29.000000000000004</v>
      </c>
    </row>
    <row r="45" spans="1:8" x14ac:dyDescent="0.2">
      <c r="A45" s="2">
        <v>43891</v>
      </c>
      <c r="B45" s="1" t="s">
        <v>53</v>
      </c>
      <c r="C45" s="1">
        <v>103</v>
      </c>
      <c r="D45" s="1">
        <f t="shared" ca="1" si="0"/>
        <v>9</v>
      </c>
      <c r="E45" s="1">
        <f>VLOOKUP(C45,商品表!A:C,3,0)</f>
        <v>3.5</v>
      </c>
      <c r="F45" s="1">
        <f>VLOOKUP(C45,商品表!A:D,4,0)</f>
        <v>2.5</v>
      </c>
      <c r="G45" s="1">
        <f t="shared" ca="1" si="7"/>
        <v>31.5</v>
      </c>
      <c r="H45" s="1">
        <f t="shared" ca="1" si="8"/>
        <v>9</v>
      </c>
    </row>
    <row r="46" spans="1:8" x14ac:dyDescent="0.2">
      <c r="A46" s="2">
        <v>43891</v>
      </c>
      <c r="B46" s="1" t="s">
        <v>54</v>
      </c>
      <c r="C46" s="1">
        <v>103</v>
      </c>
      <c r="D46" s="1">
        <f t="shared" ca="1" si="0"/>
        <v>6</v>
      </c>
      <c r="E46" s="1">
        <f>VLOOKUP(C46,商品表!A:C,3,0)</f>
        <v>3.5</v>
      </c>
      <c r="F46" s="1">
        <f>VLOOKUP(C46,商品表!A:D,4,0)</f>
        <v>2.5</v>
      </c>
      <c r="G46" s="1">
        <f t="shared" ca="1" si="7"/>
        <v>21</v>
      </c>
      <c r="H46" s="1">
        <f t="shared" ca="1" si="8"/>
        <v>6</v>
      </c>
    </row>
    <row r="47" spans="1:8" x14ac:dyDescent="0.2">
      <c r="A47" s="2">
        <v>43891</v>
      </c>
      <c r="B47" s="1" t="s">
        <v>55</v>
      </c>
      <c r="C47" s="1">
        <v>102</v>
      </c>
      <c r="D47" s="1">
        <f t="shared" ca="1" si="0"/>
        <v>9</v>
      </c>
      <c r="E47" s="1">
        <f>VLOOKUP(C47,商品表!A:C,3,0)</f>
        <v>7.9</v>
      </c>
      <c r="F47" s="1">
        <f>VLOOKUP(C47,商品表!A:D,4,0)</f>
        <v>5</v>
      </c>
      <c r="G47" s="1">
        <f t="shared" ca="1" si="7"/>
        <v>71.100000000000009</v>
      </c>
      <c r="H47" s="1">
        <f t="shared" ca="1" si="8"/>
        <v>26.1</v>
      </c>
    </row>
    <row r="48" spans="1:8" x14ac:dyDescent="0.2">
      <c r="A48" s="2">
        <v>43891</v>
      </c>
      <c r="B48" s="1" t="s">
        <v>56</v>
      </c>
      <c r="C48" s="1">
        <v>102</v>
      </c>
      <c r="D48" s="1">
        <f t="shared" ca="1" si="0"/>
        <v>8</v>
      </c>
      <c r="E48" s="1">
        <f>VLOOKUP(C48,商品表!A:C,3,0)</f>
        <v>7.9</v>
      </c>
      <c r="F48" s="1">
        <f>VLOOKUP(C48,商品表!A:D,4,0)</f>
        <v>5</v>
      </c>
      <c r="G48" s="1">
        <f t="shared" ca="1" si="7"/>
        <v>63.2</v>
      </c>
      <c r="H48" s="1">
        <f t="shared" ca="1" si="8"/>
        <v>23.200000000000003</v>
      </c>
    </row>
    <row r="49" spans="1:8" x14ac:dyDescent="0.2">
      <c r="A49" s="2">
        <v>43891</v>
      </c>
      <c r="B49" s="1" t="s">
        <v>57</v>
      </c>
      <c r="C49" s="1">
        <v>104</v>
      </c>
      <c r="D49" s="1">
        <f t="shared" ca="1" si="0"/>
        <v>4</v>
      </c>
      <c r="E49" s="1">
        <f>VLOOKUP(C49,商品表!A:C,3,0)</f>
        <v>19.899999999999999</v>
      </c>
      <c r="F49" s="1">
        <f>VLOOKUP(C49,商品表!A:D,4,0)</f>
        <v>17.899999999999999</v>
      </c>
      <c r="G49" s="1">
        <f t="shared" ca="1" si="7"/>
        <v>79.599999999999994</v>
      </c>
      <c r="H49" s="1">
        <f t="shared" ca="1" si="8"/>
        <v>8</v>
      </c>
    </row>
    <row r="50" spans="1:8" x14ac:dyDescent="0.2">
      <c r="A50" s="2">
        <v>43891</v>
      </c>
      <c r="B50" s="1" t="s">
        <v>58</v>
      </c>
      <c r="C50" s="1">
        <v>105</v>
      </c>
      <c r="D50" s="1">
        <f t="shared" ca="1" si="0"/>
        <v>6</v>
      </c>
      <c r="E50" s="1">
        <f>VLOOKUP(C50,商品表!A:C,3,0)</f>
        <v>8.8000000000000007</v>
      </c>
      <c r="F50" s="1">
        <f>VLOOKUP(C50,商品表!A:D,4,0)</f>
        <v>6.8</v>
      </c>
      <c r="G50" s="1">
        <f t="shared" ca="1" si="7"/>
        <v>52.800000000000004</v>
      </c>
      <c r="H50" s="1">
        <f t="shared" ca="1" si="8"/>
        <v>12.000000000000005</v>
      </c>
    </row>
    <row r="51" spans="1:8" x14ac:dyDescent="0.2">
      <c r="A51" s="2">
        <v>43891</v>
      </c>
      <c r="B51" s="1" t="s">
        <v>59</v>
      </c>
      <c r="C51" s="1">
        <v>106</v>
      </c>
      <c r="D51" s="1">
        <f t="shared" ca="1" si="0"/>
        <v>10</v>
      </c>
      <c r="E51" s="1">
        <f>VLOOKUP(C51,商品表!A:C,3,0)</f>
        <v>5.9</v>
      </c>
      <c r="F51" s="1">
        <f>VLOOKUP(C51,商品表!A:D,4,0)</f>
        <v>3.9</v>
      </c>
      <c r="G51" s="1">
        <f t="shared" ca="1" si="7"/>
        <v>59</v>
      </c>
      <c r="H51" s="1">
        <f t="shared" ca="1" si="8"/>
        <v>20.000000000000004</v>
      </c>
    </row>
    <row r="52" spans="1:8" x14ac:dyDescent="0.2">
      <c r="A52" s="2">
        <v>43891</v>
      </c>
      <c r="B52" s="1" t="s">
        <v>60</v>
      </c>
      <c r="C52" s="1">
        <v>102</v>
      </c>
      <c r="D52" s="1">
        <f t="shared" ca="1" si="0"/>
        <v>4</v>
      </c>
      <c r="E52" s="1">
        <f>VLOOKUP(C52,商品表!A:C,3,0)</f>
        <v>7.9</v>
      </c>
      <c r="F52" s="1">
        <f>VLOOKUP(C52,商品表!A:D,4,0)</f>
        <v>5</v>
      </c>
      <c r="G52" s="1">
        <f t="shared" ca="1" si="7"/>
        <v>31.6</v>
      </c>
      <c r="H52" s="1">
        <f t="shared" ca="1" si="8"/>
        <v>11.600000000000001</v>
      </c>
    </row>
    <row r="53" spans="1:8" x14ac:dyDescent="0.2">
      <c r="A53" s="2">
        <v>43891</v>
      </c>
      <c r="B53" s="1" t="s">
        <v>61</v>
      </c>
      <c r="C53" s="1">
        <v>102</v>
      </c>
      <c r="D53" s="1">
        <f t="shared" ca="1" si="0"/>
        <v>7</v>
      </c>
      <c r="E53" s="1">
        <f>VLOOKUP(C53,商品表!A:C,3,0)</f>
        <v>7.9</v>
      </c>
      <c r="F53" s="1">
        <f>VLOOKUP(C53,商品表!A:D,4,0)</f>
        <v>5</v>
      </c>
      <c r="G53" s="1">
        <f t="shared" ca="1" si="7"/>
        <v>55.300000000000004</v>
      </c>
      <c r="H53" s="1">
        <f t="shared" ca="1" si="8"/>
        <v>20.300000000000004</v>
      </c>
    </row>
    <row r="54" spans="1:8" x14ac:dyDescent="0.2">
      <c r="A54" s="2">
        <v>43891</v>
      </c>
      <c r="B54" s="1" t="s">
        <v>62</v>
      </c>
      <c r="C54" s="1">
        <v>102</v>
      </c>
      <c r="D54" s="1">
        <f t="shared" ca="1" si="0"/>
        <v>8</v>
      </c>
      <c r="E54" s="1">
        <f>VLOOKUP(C54,商品表!A:C,3,0)</f>
        <v>7.9</v>
      </c>
      <c r="F54" s="1">
        <f>VLOOKUP(C54,商品表!A:D,4,0)</f>
        <v>5</v>
      </c>
      <c r="G54" s="1">
        <f t="shared" ca="1" si="7"/>
        <v>63.2</v>
      </c>
      <c r="H54" s="1">
        <f t="shared" ca="1" si="8"/>
        <v>23.200000000000003</v>
      </c>
    </row>
    <row r="55" spans="1:8" x14ac:dyDescent="0.2">
      <c r="A55" s="2">
        <v>43891</v>
      </c>
      <c r="B55" s="1" t="s">
        <v>63</v>
      </c>
      <c r="C55" s="1">
        <v>101</v>
      </c>
      <c r="D55" s="1">
        <f t="shared" ca="1" si="0"/>
        <v>8</v>
      </c>
      <c r="E55" s="1">
        <f>VLOOKUP(C55,商品表!A:C,3,0)</f>
        <v>2.5</v>
      </c>
      <c r="F55" s="1">
        <f>VLOOKUP(C55,商品表!A:D,4,0)</f>
        <v>3</v>
      </c>
      <c r="G55" s="1">
        <f t="shared" ca="1" si="7"/>
        <v>20</v>
      </c>
      <c r="H55" s="1">
        <f t="shared" ca="1" si="8"/>
        <v>-4</v>
      </c>
    </row>
    <row r="56" spans="1:8" x14ac:dyDescent="0.2">
      <c r="A56" s="2">
        <v>43891</v>
      </c>
      <c r="B56" s="1" t="s">
        <v>64</v>
      </c>
      <c r="C56" s="1">
        <v>101</v>
      </c>
      <c r="D56" s="1">
        <f t="shared" ca="1" si="0"/>
        <v>3</v>
      </c>
      <c r="E56" s="1">
        <f>VLOOKUP(C56,商品表!A:C,3,0)</f>
        <v>2.5</v>
      </c>
      <c r="F56" s="1">
        <f>VLOOKUP(C56,商品表!A:D,4,0)</f>
        <v>3</v>
      </c>
      <c r="G56" s="1">
        <f t="shared" ca="1" si="7"/>
        <v>7.5</v>
      </c>
      <c r="H56" s="1">
        <f t="shared" ca="1" si="8"/>
        <v>-1.5</v>
      </c>
    </row>
    <row r="57" spans="1:8" x14ac:dyDescent="0.2">
      <c r="A57" s="2">
        <v>43891</v>
      </c>
      <c r="B57" s="1" t="s">
        <v>65</v>
      </c>
      <c r="C57" s="1">
        <v>101</v>
      </c>
      <c r="D57" s="1">
        <f t="shared" ca="1" si="0"/>
        <v>9</v>
      </c>
      <c r="E57" s="1">
        <f>VLOOKUP(C57,商品表!A:C,3,0)</f>
        <v>2.5</v>
      </c>
      <c r="F57" s="1">
        <f>VLOOKUP(C57,商品表!A:D,4,0)</f>
        <v>3</v>
      </c>
      <c r="G57" s="1">
        <f t="shared" ca="1" si="7"/>
        <v>22.5</v>
      </c>
      <c r="H57" s="1">
        <f t="shared" ca="1" si="8"/>
        <v>-4.5</v>
      </c>
    </row>
    <row r="58" spans="1:8" x14ac:dyDescent="0.2">
      <c r="A58" s="2">
        <v>43891</v>
      </c>
      <c r="B58" s="1" t="s">
        <v>66</v>
      </c>
      <c r="C58" s="1">
        <v>101</v>
      </c>
      <c r="D58" s="1">
        <f t="shared" ca="1" si="0"/>
        <v>6</v>
      </c>
      <c r="E58" s="1">
        <f>VLOOKUP(C58,商品表!A:C,3,0)</f>
        <v>2.5</v>
      </c>
      <c r="F58" s="1">
        <f>VLOOKUP(C58,商品表!A:D,4,0)</f>
        <v>3</v>
      </c>
      <c r="G58" s="1">
        <f t="shared" ca="1" si="7"/>
        <v>15</v>
      </c>
      <c r="H58" s="1">
        <f t="shared" ca="1" si="8"/>
        <v>-3</v>
      </c>
    </row>
    <row r="59" spans="1:8" x14ac:dyDescent="0.2">
      <c r="A59" s="2">
        <v>43891</v>
      </c>
      <c r="B59" s="1" t="s">
        <v>67</v>
      </c>
      <c r="C59" s="1">
        <v>101</v>
      </c>
      <c r="D59" s="1">
        <f t="shared" ca="1" si="0"/>
        <v>8</v>
      </c>
      <c r="E59" s="1">
        <f>VLOOKUP(C59,商品表!A:C,3,0)</f>
        <v>2.5</v>
      </c>
      <c r="F59" s="1">
        <f>VLOOKUP(C59,商品表!A:D,4,0)</f>
        <v>3</v>
      </c>
      <c r="G59" s="1">
        <f t="shared" ca="1" si="7"/>
        <v>20</v>
      </c>
      <c r="H59" s="1">
        <f t="shared" ca="1" si="8"/>
        <v>-4</v>
      </c>
    </row>
    <row r="60" spans="1:8" x14ac:dyDescent="0.2">
      <c r="A60" s="2">
        <v>43891</v>
      </c>
      <c r="B60" s="1" t="s">
        <v>68</v>
      </c>
      <c r="C60" s="1">
        <v>101</v>
      </c>
      <c r="D60" s="1">
        <f t="shared" ca="1" si="0"/>
        <v>5</v>
      </c>
      <c r="E60" s="1">
        <f>VLOOKUP(C60,商品表!A:C,3,0)</f>
        <v>2.5</v>
      </c>
      <c r="F60" s="1">
        <f>VLOOKUP(C60,商品表!A:D,4,0)</f>
        <v>3</v>
      </c>
      <c r="G60" s="1">
        <f t="shared" ca="1" si="7"/>
        <v>12.5</v>
      </c>
      <c r="H60" s="1">
        <f t="shared" ca="1" si="8"/>
        <v>-2.5</v>
      </c>
    </row>
    <row r="61" spans="1:8" x14ac:dyDescent="0.2">
      <c r="A61" s="2">
        <v>43891</v>
      </c>
      <c r="B61" s="1" t="s">
        <v>69</v>
      </c>
      <c r="C61" s="1">
        <v>101</v>
      </c>
      <c r="D61" s="1">
        <f t="shared" ca="1" si="0"/>
        <v>5</v>
      </c>
      <c r="E61" s="1">
        <f>VLOOKUP(C61,商品表!A:C,3,0)</f>
        <v>2.5</v>
      </c>
      <c r="F61" s="1">
        <f>VLOOKUP(C61,商品表!A:D,4,0)</f>
        <v>3</v>
      </c>
      <c r="G61" s="1">
        <f t="shared" ca="1" si="7"/>
        <v>12.5</v>
      </c>
      <c r="H61" s="1">
        <f t="shared" ca="1" si="8"/>
        <v>-2.5</v>
      </c>
    </row>
    <row r="62" spans="1:8" x14ac:dyDescent="0.2">
      <c r="A62" s="2">
        <v>43891</v>
      </c>
      <c r="B62" s="1" t="s">
        <v>70</v>
      </c>
      <c r="C62" s="1">
        <v>101</v>
      </c>
      <c r="D62" s="1">
        <f t="shared" ca="1" si="0"/>
        <v>4</v>
      </c>
      <c r="E62" s="1">
        <f>VLOOKUP(C62,商品表!A:C,3,0)</f>
        <v>2.5</v>
      </c>
      <c r="F62" s="1">
        <f>VLOOKUP(C62,商品表!A:D,4,0)</f>
        <v>3</v>
      </c>
      <c r="G62" s="1">
        <f t="shared" ca="1" si="7"/>
        <v>10</v>
      </c>
      <c r="H62" s="1">
        <f t="shared" ca="1" si="8"/>
        <v>-2</v>
      </c>
    </row>
    <row r="63" spans="1:8" x14ac:dyDescent="0.2">
      <c r="A63" s="2">
        <v>43891</v>
      </c>
      <c r="B63" s="1" t="s">
        <v>71</v>
      </c>
      <c r="C63" s="1">
        <v>101</v>
      </c>
      <c r="D63" s="1">
        <f t="shared" ca="1" si="0"/>
        <v>4</v>
      </c>
      <c r="E63" s="1">
        <f>VLOOKUP(C63,商品表!A:C,3,0)</f>
        <v>2.5</v>
      </c>
      <c r="F63" s="1">
        <f>VLOOKUP(C63,商品表!A:D,4,0)</f>
        <v>3</v>
      </c>
      <c r="G63" s="1">
        <f t="shared" ca="1" si="7"/>
        <v>10</v>
      </c>
      <c r="H63" s="1">
        <f t="shared" ca="1" si="8"/>
        <v>-2</v>
      </c>
    </row>
    <row r="64" spans="1:8" x14ac:dyDescent="0.2">
      <c r="A64" s="2">
        <v>43891</v>
      </c>
      <c r="B64" s="1" t="s">
        <v>72</v>
      </c>
      <c r="C64" s="1">
        <v>101</v>
      </c>
      <c r="D64" s="1">
        <f t="shared" ca="1" si="0"/>
        <v>10</v>
      </c>
      <c r="E64" s="1">
        <f>VLOOKUP(C64,商品表!A:C,3,0)</f>
        <v>2.5</v>
      </c>
      <c r="F64" s="1">
        <f>VLOOKUP(C64,商品表!A:D,4,0)</f>
        <v>3</v>
      </c>
      <c r="G64" s="1">
        <f t="shared" ca="1" si="7"/>
        <v>25</v>
      </c>
      <c r="H64" s="1">
        <f t="shared" ca="1" si="8"/>
        <v>-5</v>
      </c>
    </row>
    <row r="65" spans="1:8" x14ac:dyDescent="0.2">
      <c r="A65" s="2">
        <v>43891</v>
      </c>
      <c r="B65" s="1" t="s">
        <v>73</v>
      </c>
      <c r="C65" s="1">
        <v>101</v>
      </c>
      <c r="D65" s="1">
        <f t="shared" ca="1" si="0"/>
        <v>5</v>
      </c>
      <c r="E65" s="1">
        <f>VLOOKUP(C65,商品表!A:C,3,0)</f>
        <v>2.5</v>
      </c>
      <c r="F65" s="1">
        <f>VLOOKUP(C65,商品表!A:D,4,0)</f>
        <v>3</v>
      </c>
      <c r="G65" s="1">
        <f t="shared" ca="1" si="7"/>
        <v>12.5</v>
      </c>
      <c r="H65" s="1">
        <f t="shared" ca="1" si="8"/>
        <v>-2.5</v>
      </c>
    </row>
    <row r="66" spans="1:8" x14ac:dyDescent="0.2">
      <c r="A66" s="2">
        <v>43891</v>
      </c>
      <c r="B66" s="1" t="s">
        <v>74</v>
      </c>
      <c r="C66" s="1">
        <v>101</v>
      </c>
      <c r="D66" s="1">
        <f t="shared" ca="1" si="0"/>
        <v>9</v>
      </c>
      <c r="E66" s="1">
        <f>VLOOKUP(C66,商品表!A:C,3,0)</f>
        <v>2.5</v>
      </c>
      <c r="F66" s="1">
        <f>VLOOKUP(C66,商品表!A:D,4,0)</f>
        <v>3</v>
      </c>
      <c r="G66" s="1">
        <f t="shared" ca="1" si="7"/>
        <v>22.5</v>
      </c>
      <c r="H66" s="1">
        <f t="shared" ca="1" si="8"/>
        <v>-4.5</v>
      </c>
    </row>
    <row r="67" spans="1:8" x14ac:dyDescent="0.2">
      <c r="A67" s="2">
        <v>43891</v>
      </c>
      <c r="B67" s="1" t="s">
        <v>75</v>
      </c>
      <c r="C67" s="1">
        <v>101</v>
      </c>
      <c r="D67" s="1">
        <f t="shared" ref="D67:D130" ca="1" si="9">RANDBETWEEN(3,10)</f>
        <v>3</v>
      </c>
      <c r="E67" s="1">
        <f>VLOOKUP(C67,商品表!A:C,3,0)</f>
        <v>2.5</v>
      </c>
      <c r="F67" s="1">
        <f>VLOOKUP(C67,商品表!A:D,4,0)</f>
        <v>3</v>
      </c>
      <c r="G67" s="1">
        <f t="shared" ca="1" si="7"/>
        <v>7.5</v>
      </c>
      <c r="H67" s="1">
        <f t="shared" ca="1" si="8"/>
        <v>-1.5</v>
      </c>
    </row>
    <row r="68" spans="1:8" x14ac:dyDescent="0.2">
      <c r="A68" s="2">
        <v>43891</v>
      </c>
      <c r="B68" s="1" t="s">
        <v>76</v>
      </c>
      <c r="C68" s="1">
        <v>101</v>
      </c>
      <c r="D68" s="1">
        <f t="shared" ca="1" si="9"/>
        <v>6</v>
      </c>
      <c r="E68" s="1">
        <f>VLOOKUP(C68,商品表!A:C,3,0)</f>
        <v>2.5</v>
      </c>
      <c r="F68" s="1">
        <f>VLOOKUP(C68,商品表!A:D,4,0)</f>
        <v>3</v>
      </c>
      <c r="G68" s="1">
        <f t="shared" ca="1" si="7"/>
        <v>15</v>
      </c>
      <c r="H68" s="1">
        <f t="shared" ca="1" si="8"/>
        <v>-3</v>
      </c>
    </row>
    <row r="69" spans="1:8" x14ac:dyDescent="0.2">
      <c r="A69" s="2">
        <v>43891</v>
      </c>
      <c r="B69" s="1" t="s">
        <v>77</v>
      </c>
      <c r="C69" s="1">
        <v>101</v>
      </c>
      <c r="D69" s="1">
        <f t="shared" ca="1" si="9"/>
        <v>5</v>
      </c>
      <c r="E69" s="1">
        <f>VLOOKUP(C69,商品表!A:C,3,0)</f>
        <v>2.5</v>
      </c>
      <c r="F69" s="1">
        <f>VLOOKUP(C69,商品表!A:D,4,0)</f>
        <v>3</v>
      </c>
      <c r="G69" s="1">
        <f t="shared" ca="1" si="7"/>
        <v>12.5</v>
      </c>
      <c r="H69" s="1">
        <f t="shared" ca="1" si="8"/>
        <v>-2.5</v>
      </c>
    </row>
    <row r="70" spans="1:8" x14ac:dyDescent="0.2">
      <c r="A70" s="2">
        <v>43891</v>
      </c>
      <c r="B70" s="1" t="s">
        <v>78</v>
      </c>
      <c r="C70" s="1">
        <v>101</v>
      </c>
      <c r="D70" s="1">
        <f t="shared" ca="1" si="9"/>
        <v>5</v>
      </c>
      <c r="E70" s="1">
        <f>VLOOKUP(C70,商品表!A:C,3,0)</f>
        <v>2.5</v>
      </c>
      <c r="F70" s="1">
        <f>VLOOKUP(C70,商品表!A:D,4,0)</f>
        <v>3</v>
      </c>
      <c r="G70" s="1">
        <f t="shared" ca="1" si="7"/>
        <v>12.5</v>
      </c>
      <c r="H70" s="1">
        <f t="shared" ca="1" si="8"/>
        <v>-2.5</v>
      </c>
    </row>
    <row r="71" spans="1:8" x14ac:dyDescent="0.2">
      <c r="A71" s="2">
        <v>43891</v>
      </c>
      <c r="B71" s="1" t="s">
        <v>79</v>
      </c>
      <c r="C71" s="1">
        <v>101</v>
      </c>
      <c r="D71" s="1">
        <f t="shared" ca="1" si="9"/>
        <v>8</v>
      </c>
      <c r="E71" s="1">
        <f>VLOOKUP(C71,商品表!A:C,3,0)</f>
        <v>2.5</v>
      </c>
      <c r="F71" s="1">
        <f>VLOOKUP(C71,商品表!A:D,4,0)</f>
        <v>3</v>
      </c>
      <c r="G71" s="1">
        <f t="shared" ca="1" si="7"/>
        <v>20</v>
      </c>
      <c r="H71" s="1">
        <f t="shared" ca="1" si="8"/>
        <v>-4</v>
      </c>
    </row>
    <row r="72" spans="1:8" x14ac:dyDescent="0.2">
      <c r="A72" s="2">
        <v>43891</v>
      </c>
      <c r="B72" s="1" t="s">
        <v>80</v>
      </c>
      <c r="C72" s="1">
        <v>101</v>
      </c>
      <c r="D72" s="1">
        <f t="shared" ca="1" si="9"/>
        <v>9</v>
      </c>
      <c r="E72" s="1">
        <f>VLOOKUP(C72,商品表!A:C,3,0)</f>
        <v>2.5</v>
      </c>
      <c r="F72" s="1">
        <f>VLOOKUP(C72,商品表!A:D,4,0)</f>
        <v>3</v>
      </c>
      <c r="G72" s="1">
        <f t="shared" ca="1" si="7"/>
        <v>22.5</v>
      </c>
      <c r="H72" s="1">
        <f t="shared" ca="1" si="8"/>
        <v>-4.5</v>
      </c>
    </row>
    <row r="73" spans="1:8" x14ac:dyDescent="0.2">
      <c r="A73" s="2">
        <v>43891</v>
      </c>
      <c r="B73" s="1" t="s">
        <v>81</v>
      </c>
      <c r="C73" s="1">
        <v>101</v>
      </c>
      <c r="D73" s="1">
        <f t="shared" ca="1" si="9"/>
        <v>5</v>
      </c>
      <c r="E73" s="1">
        <f>VLOOKUP(C73,商品表!A:C,3,0)</f>
        <v>2.5</v>
      </c>
      <c r="F73" s="1">
        <f>VLOOKUP(C73,商品表!A:D,4,0)</f>
        <v>3</v>
      </c>
      <c r="G73" s="1">
        <f t="shared" ca="1" si="7"/>
        <v>12.5</v>
      </c>
      <c r="H73" s="1">
        <f t="shared" ca="1" si="8"/>
        <v>-2.5</v>
      </c>
    </row>
    <row r="74" spans="1:8" x14ac:dyDescent="0.2">
      <c r="A74" s="2">
        <v>43891</v>
      </c>
      <c r="B74" s="1" t="s">
        <v>82</v>
      </c>
      <c r="C74" s="1">
        <v>101</v>
      </c>
      <c r="D74" s="1">
        <f t="shared" ca="1" si="9"/>
        <v>8</v>
      </c>
      <c r="E74" s="1">
        <f>VLOOKUP(C74,商品表!A:C,3,0)</f>
        <v>2.5</v>
      </c>
      <c r="F74" s="1">
        <f>VLOOKUP(C74,商品表!A:D,4,0)</f>
        <v>3</v>
      </c>
      <c r="G74" s="1">
        <f t="shared" ca="1" si="7"/>
        <v>20</v>
      </c>
      <c r="H74" s="1">
        <f t="shared" ca="1" si="8"/>
        <v>-4</v>
      </c>
    </row>
    <row r="75" spans="1:8" x14ac:dyDescent="0.2">
      <c r="A75" s="2">
        <v>43891</v>
      </c>
      <c r="B75" s="1" t="s">
        <v>83</v>
      </c>
      <c r="C75" s="1">
        <v>101</v>
      </c>
      <c r="D75" s="1">
        <f t="shared" ca="1" si="9"/>
        <v>4</v>
      </c>
      <c r="E75" s="1">
        <f>VLOOKUP(C75,商品表!A:C,3,0)</f>
        <v>2.5</v>
      </c>
      <c r="F75" s="1">
        <f>VLOOKUP(C75,商品表!A:D,4,0)</f>
        <v>3</v>
      </c>
      <c r="G75" s="1">
        <f t="shared" ca="1" si="7"/>
        <v>10</v>
      </c>
      <c r="H75" s="1">
        <f t="shared" ca="1" si="8"/>
        <v>-2</v>
      </c>
    </row>
    <row r="76" spans="1:8" x14ac:dyDescent="0.2">
      <c r="A76" s="2">
        <v>43891</v>
      </c>
      <c r="B76" s="1" t="s">
        <v>84</v>
      </c>
      <c r="C76" s="1">
        <v>101</v>
      </c>
      <c r="D76" s="1">
        <f t="shared" ca="1" si="9"/>
        <v>10</v>
      </c>
      <c r="E76" s="1">
        <f>VLOOKUP(C76,商品表!A:C,3,0)</f>
        <v>2.5</v>
      </c>
      <c r="F76" s="1">
        <f>VLOOKUP(C76,商品表!A:D,4,0)</f>
        <v>3</v>
      </c>
      <c r="G76" s="1">
        <f t="shared" ca="1" si="7"/>
        <v>25</v>
      </c>
      <c r="H76" s="1">
        <f t="shared" ca="1" si="8"/>
        <v>-5</v>
      </c>
    </row>
    <row r="77" spans="1:8" x14ac:dyDescent="0.2">
      <c r="A77" s="2">
        <v>43891</v>
      </c>
      <c r="B77" s="1" t="s">
        <v>85</v>
      </c>
      <c r="C77" s="1">
        <v>101</v>
      </c>
      <c r="D77" s="1">
        <f t="shared" ca="1" si="9"/>
        <v>6</v>
      </c>
      <c r="E77" s="1">
        <f>VLOOKUP(C77,商品表!A:C,3,0)</f>
        <v>2.5</v>
      </c>
      <c r="F77" s="1">
        <f>VLOOKUP(C77,商品表!A:D,4,0)</f>
        <v>3</v>
      </c>
      <c r="G77" s="1">
        <f t="shared" ca="1" si="7"/>
        <v>15</v>
      </c>
      <c r="H77" s="1">
        <f t="shared" ca="1" si="8"/>
        <v>-3</v>
      </c>
    </row>
    <row r="78" spans="1:8" x14ac:dyDescent="0.2">
      <c r="A78" s="2">
        <v>43891</v>
      </c>
      <c r="B78" s="1" t="s">
        <v>62</v>
      </c>
      <c r="C78" s="1">
        <v>102</v>
      </c>
      <c r="D78" s="1">
        <f t="shared" ca="1" si="9"/>
        <v>4</v>
      </c>
      <c r="E78" s="1">
        <f>VLOOKUP(C78,商品表!A:C,3,0)</f>
        <v>7.9</v>
      </c>
      <c r="F78" s="1">
        <f>VLOOKUP(C78,商品表!A:D,4,0)</f>
        <v>5</v>
      </c>
      <c r="G78" s="1">
        <f t="shared" ca="1" si="7"/>
        <v>31.6</v>
      </c>
      <c r="H78" s="1">
        <f t="shared" ca="1" si="8"/>
        <v>11.600000000000001</v>
      </c>
    </row>
    <row r="79" spans="1:8" x14ac:dyDescent="0.2">
      <c r="A79" s="2">
        <v>43891</v>
      </c>
      <c r="B79" s="1" t="s">
        <v>63</v>
      </c>
      <c r="C79" s="1">
        <v>102</v>
      </c>
      <c r="D79" s="1">
        <f t="shared" ca="1" si="9"/>
        <v>8</v>
      </c>
      <c r="E79" s="1">
        <f>VLOOKUP(C79,商品表!A:C,3,0)</f>
        <v>7.9</v>
      </c>
      <c r="F79" s="1">
        <f>VLOOKUP(C79,商品表!A:D,4,0)</f>
        <v>5</v>
      </c>
      <c r="G79" s="1">
        <f t="shared" ca="1" si="7"/>
        <v>63.2</v>
      </c>
      <c r="H79" s="1">
        <f t="shared" ca="1" si="8"/>
        <v>23.200000000000003</v>
      </c>
    </row>
    <row r="80" spans="1:8" x14ac:dyDescent="0.2">
      <c r="A80" s="2">
        <v>43891</v>
      </c>
      <c r="B80" s="1" t="s">
        <v>64</v>
      </c>
      <c r="C80" s="1">
        <v>102</v>
      </c>
      <c r="D80" s="1">
        <f t="shared" ca="1" si="9"/>
        <v>8</v>
      </c>
      <c r="E80" s="1">
        <f>VLOOKUP(C80,商品表!A:C,3,0)</f>
        <v>7.9</v>
      </c>
      <c r="F80" s="1">
        <f>VLOOKUP(C80,商品表!A:D,4,0)</f>
        <v>5</v>
      </c>
      <c r="G80" s="1">
        <f t="shared" ca="1" si="7"/>
        <v>63.2</v>
      </c>
      <c r="H80" s="1">
        <f t="shared" ca="1" si="8"/>
        <v>23.200000000000003</v>
      </c>
    </row>
    <row r="81" spans="1:8" x14ac:dyDescent="0.2">
      <c r="A81" s="2">
        <v>43891</v>
      </c>
      <c r="B81" s="1" t="s">
        <v>65</v>
      </c>
      <c r="C81" s="1">
        <v>103</v>
      </c>
      <c r="D81" s="1">
        <f t="shared" ca="1" si="9"/>
        <v>7</v>
      </c>
      <c r="E81" s="1">
        <f>VLOOKUP(C81,商品表!A:C,3,0)</f>
        <v>3.5</v>
      </c>
      <c r="F81" s="1">
        <f>VLOOKUP(C81,商品表!A:D,4,0)</f>
        <v>2.5</v>
      </c>
      <c r="G81" s="1">
        <f t="shared" ca="1" si="7"/>
        <v>24.5</v>
      </c>
      <c r="H81" s="1">
        <f t="shared" ca="1" si="8"/>
        <v>7</v>
      </c>
    </row>
    <row r="82" spans="1:8" x14ac:dyDescent="0.2">
      <c r="A82" s="2">
        <v>43891</v>
      </c>
      <c r="B82" s="1" t="s">
        <v>66</v>
      </c>
      <c r="C82" s="1">
        <v>103</v>
      </c>
      <c r="D82" s="1">
        <f t="shared" ca="1" si="9"/>
        <v>7</v>
      </c>
      <c r="E82" s="1">
        <f>VLOOKUP(C82,商品表!A:C,3,0)</f>
        <v>3.5</v>
      </c>
      <c r="F82" s="1">
        <f>VLOOKUP(C82,商品表!A:D,4,0)</f>
        <v>2.5</v>
      </c>
      <c r="G82" s="1">
        <f t="shared" ca="1" si="7"/>
        <v>24.5</v>
      </c>
      <c r="H82" s="1">
        <f t="shared" ca="1" si="8"/>
        <v>7</v>
      </c>
    </row>
    <row r="83" spans="1:8" x14ac:dyDescent="0.2">
      <c r="A83" s="2">
        <v>43891</v>
      </c>
      <c r="B83" s="1" t="s">
        <v>67</v>
      </c>
      <c r="C83" s="1">
        <v>102</v>
      </c>
      <c r="D83" s="1">
        <f t="shared" ca="1" si="9"/>
        <v>7</v>
      </c>
      <c r="E83" s="1">
        <f>VLOOKUP(C83,商品表!A:C,3,0)</f>
        <v>7.9</v>
      </c>
      <c r="F83" s="1">
        <f>VLOOKUP(C83,商品表!A:D,4,0)</f>
        <v>5</v>
      </c>
      <c r="G83" s="1">
        <f t="shared" ca="1" si="7"/>
        <v>55.300000000000004</v>
      </c>
      <c r="H83" s="1">
        <f t="shared" ca="1" si="8"/>
        <v>20.300000000000004</v>
      </c>
    </row>
    <row r="84" spans="1:8" x14ac:dyDescent="0.2">
      <c r="A84" s="2">
        <v>43891</v>
      </c>
      <c r="B84" s="1" t="s">
        <v>68</v>
      </c>
      <c r="C84" s="1">
        <v>102</v>
      </c>
      <c r="D84" s="1">
        <f t="shared" ca="1" si="9"/>
        <v>10</v>
      </c>
      <c r="E84" s="1">
        <f>VLOOKUP(C84,商品表!A:C,3,0)</f>
        <v>7.9</v>
      </c>
      <c r="F84" s="1">
        <f>VLOOKUP(C84,商品表!A:D,4,0)</f>
        <v>5</v>
      </c>
      <c r="G84" s="1">
        <f t="shared" ca="1" si="7"/>
        <v>79</v>
      </c>
      <c r="H84" s="1">
        <f t="shared" ca="1" si="8"/>
        <v>29.000000000000004</v>
      </c>
    </row>
    <row r="85" spans="1:8" x14ac:dyDescent="0.2">
      <c r="A85" s="2">
        <v>43891</v>
      </c>
      <c r="B85" s="1" t="s">
        <v>69</v>
      </c>
      <c r="C85" s="1">
        <v>103</v>
      </c>
      <c r="D85" s="1">
        <f t="shared" ca="1" si="9"/>
        <v>4</v>
      </c>
      <c r="E85" s="1">
        <f>VLOOKUP(C85,商品表!A:C,3,0)</f>
        <v>3.5</v>
      </c>
      <c r="F85" s="1">
        <f>VLOOKUP(C85,商品表!A:D,4,0)</f>
        <v>2.5</v>
      </c>
      <c r="G85" s="1">
        <f t="shared" ca="1" si="7"/>
        <v>14</v>
      </c>
      <c r="H85" s="1">
        <f t="shared" ca="1" si="8"/>
        <v>4</v>
      </c>
    </row>
    <row r="86" spans="1:8" x14ac:dyDescent="0.2">
      <c r="A86" s="2">
        <v>43891</v>
      </c>
      <c r="B86" s="1" t="s">
        <v>70</v>
      </c>
      <c r="C86" s="1">
        <v>103</v>
      </c>
      <c r="D86" s="1">
        <f t="shared" ca="1" si="9"/>
        <v>10</v>
      </c>
      <c r="E86" s="1">
        <f>VLOOKUP(C86,商品表!A:C,3,0)</f>
        <v>3.5</v>
      </c>
      <c r="F86" s="1">
        <f>VLOOKUP(C86,商品表!A:D,4,0)</f>
        <v>2.5</v>
      </c>
      <c r="G86" s="1">
        <f t="shared" ca="1" si="7"/>
        <v>35</v>
      </c>
      <c r="H86" s="1">
        <f t="shared" ca="1" si="8"/>
        <v>10</v>
      </c>
    </row>
    <row r="87" spans="1:8" x14ac:dyDescent="0.2">
      <c r="A87" s="2">
        <v>43891</v>
      </c>
      <c r="B87" s="1" t="s">
        <v>71</v>
      </c>
      <c r="C87" s="1">
        <v>102</v>
      </c>
      <c r="D87" s="1">
        <f t="shared" ca="1" si="9"/>
        <v>9</v>
      </c>
      <c r="E87" s="1">
        <f>VLOOKUP(C87,商品表!A:C,3,0)</f>
        <v>7.9</v>
      </c>
      <c r="F87" s="1">
        <f>VLOOKUP(C87,商品表!A:D,4,0)</f>
        <v>5</v>
      </c>
      <c r="G87" s="1">
        <f t="shared" ca="1" si="7"/>
        <v>71.100000000000009</v>
      </c>
      <c r="H87" s="1">
        <f t="shared" ca="1" si="8"/>
        <v>26.1</v>
      </c>
    </row>
    <row r="88" spans="1:8" x14ac:dyDescent="0.2">
      <c r="A88" s="2">
        <v>43891</v>
      </c>
      <c r="B88" s="1" t="s">
        <v>72</v>
      </c>
      <c r="C88" s="1">
        <v>102</v>
      </c>
      <c r="D88" s="1">
        <f t="shared" ca="1" si="9"/>
        <v>3</v>
      </c>
      <c r="E88" s="1">
        <f>VLOOKUP(C88,商品表!A:C,3,0)</f>
        <v>7.9</v>
      </c>
      <c r="F88" s="1">
        <f>VLOOKUP(C88,商品表!A:D,4,0)</f>
        <v>5</v>
      </c>
      <c r="G88" s="1">
        <f t="shared" ca="1" si="7"/>
        <v>23.700000000000003</v>
      </c>
      <c r="H88" s="1">
        <f t="shared" ca="1" si="8"/>
        <v>8.7000000000000011</v>
      </c>
    </row>
    <row r="89" spans="1:8" x14ac:dyDescent="0.2">
      <c r="A89" s="2">
        <v>43891</v>
      </c>
      <c r="B89" s="1" t="s">
        <v>73</v>
      </c>
      <c r="C89" s="1">
        <v>103</v>
      </c>
      <c r="D89" s="1">
        <f t="shared" ca="1" si="9"/>
        <v>3</v>
      </c>
      <c r="E89" s="1">
        <f>VLOOKUP(C89,商品表!A:C,3,0)</f>
        <v>3.5</v>
      </c>
      <c r="F89" s="1">
        <f>VLOOKUP(C89,商品表!A:D,4,0)</f>
        <v>2.5</v>
      </c>
      <c r="G89" s="1">
        <f t="shared" ca="1" si="7"/>
        <v>10.5</v>
      </c>
      <c r="H89" s="1">
        <f t="shared" ca="1" si="8"/>
        <v>3</v>
      </c>
    </row>
    <row r="90" spans="1:8" x14ac:dyDescent="0.2">
      <c r="A90" s="2">
        <v>43891</v>
      </c>
      <c r="B90" s="1" t="s">
        <v>74</v>
      </c>
      <c r="C90" s="1">
        <v>102</v>
      </c>
      <c r="D90" s="1">
        <f t="shared" ca="1" si="9"/>
        <v>5</v>
      </c>
      <c r="E90" s="1">
        <f>VLOOKUP(C90,商品表!A:C,3,0)</f>
        <v>7.9</v>
      </c>
      <c r="F90" s="1">
        <f>VLOOKUP(C90,商品表!A:D,4,0)</f>
        <v>5</v>
      </c>
      <c r="G90" s="1">
        <f t="shared" ca="1" si="7"/>
        <v>39.5</v>
      </c>
      <c r="H90" s="1">
        <f t="shared" ca="1" si="8"/>
        <v>14.500000000000002</v>
      </c>
    </row>
    <row r="91" spans="1:8" x14ac:dyDescent="0.2">
      <c r="A91" s="2">
        <v>43891</v>
      </c>
      <c r="B91" s="1" t="s">
        <v>75</v>
      </c>
      <c r="C91" s="1">
        <v>102</v>
      </c>
      <c r="D91" s="1">
        <f t="shared" ca="1" si="9"/>
        <v>8</v>
      </c>
      <c r="E91" s="1">
        <f>VLOOKUP(C91,商品表!A:C,3,0)</f>
        <v>7.9</v>
      </c>
      <c r="F91" s="1">
        <f>VLOOKUP(C91,商品表!A:D,4,0)</f>
        <v>5</v>
      </c>
      <c r="G91" s="1">
        <f t="shared" ca="1" si="7"/>
        <v>63.2</v>
      </c>
      <c r="H91" s="1">
        <f t="shared" ca="1" si="8"/>
        <v>23.200000000000003</v>
      </c>
    </row>
    <row r="92" spans="1:8" x14ac:dyDescent="0.2">
      <c r="A92" s="2">
        <v>43891</v>
      </c>
      <c r="B92" s="1" t="s">
        <v>76</v>
      </c>
      <c r="C92" s="1">
        <v>103</v>
      </c>
      <c r="D92" s="1">
        <f t="shared" ca="1" si="9"/>
        <v>4</v>
      </c>
      <c r="E92" s="1">
        <f>VLOOKUP(C92,商品表!A:C,3,0)</f>
        <v>3.5</v>
      </c>
      <c r="F92" s="1">
        <f>VLOOKUP(C92,商品表!A:D,4,0)</f>
        <v>2.5</v>
      </c>
      <c r="G92" s="1">
        <f t="shared" ca="1" si="7"/>
        <v>14</v>
      </c>
      <c r="H92" s="1">
        <f t="shared" ca="1" si="8"/>
        <v>4</v>
      </c>
    </row>
    <row r="93" spans="1:8" x14ac:dyDescent="0.2">
      <c r="A93" s="2">
        <v>43891</v>
      </c>
      <c r="B93" s="1" t="s">
        <v>77</v>
      </c>
      <c r="C93" s="1">
        <v>102</v>
      </c>
      <c r="D93" s="1">
        <f t="shared" ca="1" si="9"/>
        <v>9</v>
      </c>
      <c r="E93" s="1">
        <f>VLOOKUP(C93,商品表!A:C,3,0)</f>
        <v>7.9</v>
      </c>
      <c r="F93" s="1">
        <f>VLOOKUP(C93,商品表!A:D,4,0)</f>
        <v>5</v>
      </c>
      <c r="G93" s="1">
        <f t="shared" ref="G93:G101" ca="1" si="10">D93*E93</f>
        <v>71.100000000000009</v>
      </c>
      <c r="H93" s="1">
        <f t="shared" ref="H93:H101" ca="1" si="11">D93*(E93-F93)</f>
        <v>26.1</v>
      </c>
    </row>
    <row r="94" spans="1:8" x14ac:dyDescent="0.2">
      <c r="A94" s="2">
        <v>43891</v>
      </c>
      <c r="B94" s="1" t="s">
        <v>78</v>
      </c>
      <c r="C94" s="1">
        <v>102</v>
      </c>
      <c r="D94" s="1">
        <f t="shared" ca="1" si="9"/>
        <v>8</v>
      </c>
      <c r="E94" s="1">
        <f>VLOOKUP(C94,商品表!A:C,3,0)</f>
        <v>7.9</v>
      </c>
      <c r="F94" s="1">
        <f>VLOOKUP(C94,商品表!A:D,4,0)</f>
        <v>5</v>
      </c>
      <c r="G94" s="1">
        <f t="shared" ca="1" si="10"/>
        <v>63.2</v>
      </c>
      <c r="H94" s="1">
        <f t="shared" ca="1" si="11"/>
        <v>23.200000000000003</v>
      </c>
    </row>
    <row r="95" spans="1:8" x14ac:dyDescent="0.2">
      <c r="A95" s="2">
        <v>43891</v>
      </c>
      <c r="B95" s="1" t="s">
        <v>79</v>
      </c>
      <c r="C95" s="1">
        <v>102</v>
      </c>
      <c r="D95" s="1">
        <f t="shared" ca="1" si="9"/>
        <v>4</v>
      </c>
      <c r="E95" s="1">
        <f>VLOOKUP(C95,商品表!A:C,3,0)</f>
        <v>7.9</v>
      </c>
      <c r="F95" s="1">
        <f>VLOOKUP(C95,商品表!A:D,4,0)</f>
        <v>5</v>
      </c>
      <c r="G95" s="1">
        <f t="shared" ca="1" si="10"/>
        <v>31.6</v>
      </c>
      <c r="H95" s="1">
        <f t="shared" ca="1" si="11"/>
        <v>11.600000000000001</v>
      </c>
    </row>
    <row r="96" spans="1:8" x14ac:dyDescent="0.2">
      <c r="A96" s="2">
        <v>43891</v>
      </c>
      <c r="B96" s="1" t="s">
        <v>80</v>
      </c>
      <c r="C96" s="1">
        <v>102</v>
      </c>
      <c r="D96" s="1">
        <f t="shared" ca="1" si="9"/>
        <v>9</v>
      </c>
      <c r="E96" s="1">
        <f>VLOOKUP(C96,商品表!A:C,3,0)</f>
        <v>7.9</v>
      </c>
      <c r="F96" s="1">
        <f>VLOOKUP(C96,商品表!A:D,4,0)</f>
        <v>5</v>
      </c>
      <c r="G96" s="1">
        <f t="shared" ca="1" si="10"/>
        <v>71.100000000000009</v>
      </c>
      <c r="H96" s="1">
        <f t="shared" ca="1" si="11"/>
        <v>26.1</v>
      </c>
    </row>
    <row r="97" spans="1:8" x14ac:dyDescent="0.2">
      <c r="A97" s="2">
        <v>43891</v>
      </c>
      <c r="B97" s="1" t="s">
        <v>81</v>
      </c>
      <c r="C97" s="1">
        <v>103</v>
      </c>
      <c r="D97" s="1">
        <f t="shared" ca="1" si="9"/>
        <v>9</v>
      </c>
      <c r="E97" s="1">
        <f>VLOOKUP(C97,商品表!A:C,3,0)</f>
        <v>3.5</v>
      </c>
      <c r="F97" s="1">
        <f>VLOOKUP(C97,商品表!A:D,4,0)</f>
        <v>2.5</v>
      </c>
      <c r="G97" s="1">
        <f t="shared" ca="1" si="10"/>
        <v>31.5</v>
      </c>
      <c r="H97" s="1">
        <f t="shared" ca="1" si="11"/>
        <v>9</v>
      </c>
    </row>
    <row r="98" spans="1:8" x14ac:dyDescent="0.2">
      <c r="A98" s="2">
        <v>43891</v>
      </c>
      <c r="B98" s="1" t="s">
        <v>82</v>
      </c>
      <c r="C98" s="1">
        <v>104</v>
      </c>
      <c r="D98" s="1">
        <f t="shared" ca="1" si="9"/>
        <v>5</v>
      </c>
      <c r="E98" s="1">
        <f>VLOOKUP(C98,商品表!A:C,3,0)</f>
        <v>19.899999999999999</v>
      </c>
      <c r="F98" s="1">
        <f>VLOOKUP(C98,商品表!A:D,4,0)</f>
        <v>17.899999999999999</v>
      </c>
      <c r="G98" s="1">
        <f t="shared" ca="1" si="10"/>
        <v>99.5</v>
      </c>
      <c r="H98" s="1">
        <f t="shared" ca="1" si="11"/>
        <v>10</v>
      </c>
    </row>
    <row r="99" spans="1:8" x14ac:dyDescent="0.2">
      <c r="A99" s="2">
        <v>43891</v>
      </c>
      <c r="B99" s="1" t="s">
        <v>83</v>
      </c>
      <c r="C99" s="1">
        <v>105</v>
      </c>
      <c r="D99" s="1">
        <f t="shared" ca="1" si="9"/>
        <v>9</v>
      </c>
      <c r="E99" s="1">
        <f>VLOOKUP(C99,商品表!A:C,3,0)</f>
        <v>8.8000000000000007</v>
      </c>
      <c r="F99" s="1">
        <f>VLOOKUP(C99,商品表!A:D,4,0)</f>
        <v>6.8</v>
      </c>
      <c r="G99" s="1">
        <f t="shared" ca="1" si="10"/>
        <v>79.2</v>
      </c>
      <c r="H99" s="1">
        <f t="shared" ca="1" si="11"/>
        <v>18.000000000000007</v>
      </c>
    </row>
    <row r="100" spans="1:8" x14ac:dyDescent="0.2">
      <c r="A100" s="2">
        <v>43891</v>
      </c>
      <c r="B100" s="1" t="s">
        <v>84</v>
      </c>
      <c r="C100" s="1">
        <v>106</v>
      </c>
      <c r="D100" s="1">
        <f t="shared" ca="1" si="9"/>
        <v>4</v>
      </c>
      <c r="E100" s="1">
        <f>VLOOKUP(C100,商品表!A:C,3,0)</f>
        <v>5.9</v>
      </c>
      <c r="F100" s="1">
        <f>VLOOKUP(C100,商品表!A:D,4,0)</f>
        <v>3.9</v>
      </c>
      <c r="G100" s="1">
        <f t="shared" ca="1" si="10"/>
        <v>23.6</v>
      </c>
      <c r="H100" s="1">
        <f t="shared" ca="1" si="11"/>
        <v>8.0000000000000018</v>
      </c>
    </row>
    <row r="101" spans="1:8" x14ac:dyDescent="0.2">
      <c r="A101" s="2">
        <v>43891</v>
      </c>
      <c r="B101" s="1" t="s">
        <v>85</v>
      </c>
      <c r="C101" s="1">
        <v>105</v>
      </c>
      <c r="D101" s="1">
        <f t="shared" ca="1" si="9"/>
        <v>5</v>
      </c>
      <c r="E101" s="1">
        <f>VLOOKUP(C101,商品表!A:C,3,0)</f>
        <v>8.8000000000000007</v>
      </c>
      <c r="F101" s="1">
        <f>VLOOKUP(C101,商品表!A:D,4,0)</f>
        <v>6.8</v>
      </c>
      <c r="G101" s="1">
        <f t="shared" ca="1" si="10"/>
        <v>44</v>
      </c>
      <c r="H101" s="1">
        <f t="shared" ca="1" si="11"/>
        <v>10.000000000000004</v>
      </c>
    </row>
    <row r="102" spans="1:8" x14ac:dyDescent="0.2">
      <c r="A102" s="2">
        <v>43892</v>
      </c>
      <c r="B102" s="1" t="s">
        <v>24</v>
      </c>
      <c r="C102" s="1">
        <v>101</v>
      </c>
      <c r="D102" s="1">
        <f t="shared" ca="1" si="9"/>
        <v>10</v>
      </c>
      <c r="E102" s="1">
        <f>VLOOKUP(C102,商品表!A:C,3,0)</f>
        <v>2.5</v>
      </c>
      <c r="F102" s="1">
        <f>VLOOKUP(C102,商品表!A:D,4,0)</f>
        <v>3</v>
      </c>
      <c r="G102" s="1">
        <f t="shared" ref="G102:G165" ca="1" si="12">D102*E102</f>
        <v>25</v>
      </c>
      <c r="H102" s="1">
        <f t="shared" ref="H102:H165" ca="1" si="13">D102*(E102-F102)</f>
        <v>-5</v>
      </c>
    </row>
    <row r="103" spans="1:8" x14ac:dyDescent="0.2">
      <c r="A103" s="2">
        <v>43892</v>
      </c>
      <c r="B103" s="1" t="s">
        <v>24</v>
      </c>
      <c r="C103" s="1">
        <v>102</v>
      </c>
      <c r="D103" s="1">
        <f t="shared" ca="1" si="9"/>
        <v>5</v>
      </c>
      <c r="E103" s="1">
        <f>VLOOKUP(C103,商品表!A:C,3,0)</f>
        <v>7.9</v>
      </c>
      <c r="F103" s="1">
        <f>VLOOKUP(C103,商品表!A:D,4,0)</f>
        <v>5</v>
      </c>
      <c r="G103" s="1">
        <f t="shared" ca="1" si="12"/>
        <v>39.5</v>
      </c>
      <c r="H103" s="1">
        <f t="shared" ca="1" si="13"/>
        <v>14.500000000000002</v>
      </c>
    </row>
    <row r="104" spans="1:8" x14ac:dyDescent="0.2">
      <c r="A104" s="2">
        <v>43892</v>
      </c>
      <c r="B104" s="1" t="s">
        <v>25</v>
      </c>
      <c r="C104" s="1">
        <v>101</v>
      </c>
      <c r="D104" s="1">
        <f t="shared" ca="1" si="9"/>
        <v>3</v>
      </c>
      <c r="E104" s="1">
        <f>VLOOKUP(C104,商品表!A:C,3,0)</f>
        <v>2.5</v>
      </c>
      <c r="F104" s="1">
        <f>VLOOKUP(C104,商品表!A:D,4,0)</f>
        <v>3</v>
      </c>
      <c r="G104" s="1">
        <f t="shared" ca="1" si="12"/>
        <v>7.5</v>
      </c>
      <c r="H104" s="1">
        <f t="shared" ca="1" si="13"/>
        <v>-1.5</v>
      </c>
    </row>
    <row r="105" spans="1:8" x14ac:dyDescent="0.2">
      <c r="A105" s="2">
        <v>43892</v>
      </c>
      <c r="B105" s="1" t="s">
        <v>42</v>
      </c>
      <c r="C105" s="1">
        <v>101</v>
      </c>
      <c r="D105" s="1">
        <f t="shared" ca="1" si="9"/>
        <v>9</v>
      </c>
      <c r="E105" s="1">
        <f>VLOOKUP(C105,商品表!A:C,3,0)</f>
        <v>2.5</v>
      </c>
      <c r="F105" s="1">
        <f>VLOOKUP(C105,商品表!A:D,4,0)</f>
        <v>3</v>
      </c>
      <c r="G105" s="1">
        <f t="shared" ca="1" si="12"/>
        <v>22.5</v>
      </c>
      <c r="H105" s="1">
        <f t="shared" ca="1" si="13"/>
        <v>-4.5</v>
      </c>
    </row>
    <row r="106" spans="1:8" x14ac:dyDescent="0.2">
      <c r="A106" s="2">
        <v>43892</v>
      </c>
      <c r="B106" s="1" t="s">
        <v>26</v>
      </c>
      <c r="C106" s="1">
        <v>103</v>
      </c>
      <c r="D106" s="1">
        <f t="shared" ca="1" si="9"/>
        <v>8</v>
      </c>
      <c r="E106" s="1">
        <f>VLOOKUP(C106,商品表!A:C,3,0)</f>
        <v>3.5</v>
      </c>
      <c r="F106" s="1">
        <f>VLOOKUP(C106,商品表!A:D,4,0)</f>
        <v>2.5</v>
      </c>
      <c r="G106" s="1">
        <f t="shared" ca="1" si="12"/>
        <v>28</v>
      </c>
      <c r="H106" s="1">
        <f t="shared" ca="1" si="13"/>
        <v>8</v>
      </c>
    </row>
    <row r="107" spans="1:8" x14ac:dyDescent="0.2">
      <c r="A107" s="2">
        <v>43892</v>
      </c>
      <c r="B107" s="1" t="s">
        <v>26</v>
      </c>
      <c r="C107" s="1">
        <v>101</v>
      </c>
      <c r="D107" s="1">
        <f t="shared" ca="1" si="9"/>
        <v>4</v>
      </c>
      <c r="E107" s="1">
        <f>VLOOKUP(C107,商品表!A:C,3,0)</f>
        <v>2.5</v>
      </c>
      <c r="F107" s="1">
        <f>VLOOKUP(C107,商品表!A:D,4,0)</f>
        <v>3</v>
      </c>
      <c r="G107" s="1">
        <f t="shared" ca="1" si="12"/>
        <v>10</v>
      </c>
      <c r="H107" s="1">
        <f t="shared" ca="1" si="13"/>
        <v>-2</v>
      </c>
    </row>
    <row r="108" spans="1:8" x14ac:dyDescent="0.2">
      <c r="A108" s="2">
        <v>43892</v>
      </c>
      <c r="B108" s="1" t="s">
        <v>27</v>
      </c>
      <c r="C108" s="1">
        <v>104</v>
      </c>
      <c r="D108" s="1">
        <f t="shared" ca="1" si="9"/>
        <v>7</v>
      </c>
      <c r="E108" s="1">
        <f>VLOOKUP(C108,商品表!A:C,3,0)</f>
        <v>19.899999999999999</v>
      </c>
      <c r="F108" s="1">
        <f>VLOOKUP(C108,商品表!A:D,4,0)</f>
        <v>17.899999999999999</v>
      </c>
      <c r="G108" s="1">
        <f t="shared" ca="1" si="12"/>
        <v>139.29999999999998</v>
      </c>
      <c r="H108" s="1">
        <f t="shared" ca="1" si="13"/>
        <v>14</v>
      </c>
    </row>
    <row r="109" spans="1:8" x14ac:dyDescent="0.2">
      <c r="A109" s="2">
        <v>43892</v>
      </c>
      <c r="B109" s="1" t="s">
        <v>27</v>
      </c>
      <c r="C109" s="1">
        <v>101</v>
      </c>
      <c r="D109" s="1">
        <f t="shared" ca="1" si="9"/>
        <v>3</v>
      </c>
      <c r="E109" s="1">
        <f>VLOOKUP(C109,商品表!A:C,3,0)</f>
        <v>2.5</v>
      </c>
      <c r="F109" s="1">
        <f>VLOOKUP(C109,商品表!A:D,4,0)</f>
        <v>3</v>
      </c>
      <c r="G109" s="1">
        <f t="shared" ca="1" si="12"/>
        <v>7.5</v>
      </c>
      <c r="H109" s="1">
        <f t="shared" ca="1" si="13"/>
        <v>-1.5</v>
      </c>
    </row>
    <row r="110" spans="1:8" x14ac:dyDescent="0.2">
      <c r="A110" s="2">
        <v>43892</v>
      </c>
      <c r="B110" s="1" t="s">
        <v>28</v>
      </c>
      <c r="C110" s="1">
        <v>102</v>
      </c>
      <c r="D110" s="1">
        <f t="shared" ca="1" si="9"/>
        <v>9</v>
      </c>
      <c r="E110" s="1">
        <f>VLOOKUP(C110,商品表!A:C,3,0)</f>
        <v>7.9</v>
      </c>
      <c r="F110" s="1">
        <f>VLOOKUP(C110,商品表!A:D,4,0)</f>
        <v>5</v>
      </c>
      <c r="G110" s="1">
        <f t="shared" ca="1" si="12"/>
        <v>71.100000000000009</v>
      </c>
      <c r="H110" s="1">
        <f t="shared" ca="1" si="13"/>
        <v>26.1</v>
      </c>
    </row>
    <row r="111" spans="1:8" x14ac:dyDescent="0.2">
      <c r="A111" s="2">
        <v>43892</v>
      </c>
      <c r="B111" s="1" t="s">
        <v>28</v>
      </c>
      <c r="C111" s="1">
        <v>101</v>
      </c>
      <c r="D111" s="1">
        <f t="shared" ca="1" si="9"/>
        <v>5</v>
      </c>
      <c r="E111" s="1">
        <f>VLOOKUP(C111,商品表!A:C,3,0)</f>
        <v>2.5</v>
      </c>
      <c r="F111" s="1">
        <f>VLOOKUP(C111,商品表!A:D,4,0)</f>
        <v>3</v>
      </c>
      <c r="G111" s="1">
        <f t="shared" ca="1" si="12"/>
        <v>12.5</v>
      </c>
      <c r="H111" s="1">
        <f t="shared" ca="1" si="13"/>
        <v>-2.5</v>
      </c>
    </row>
    <row r="112" spans="1:8" x14ac:dyDescent="0.2">
      <c r="A112" s="2">
        <v>43892</v>
      </c>
      <c r="B112" s="1" t="s">
        <v>29</v>
      </c>
      <c r="C112" s="1">
        <v>102</v>
      </c>
      <c r="D112" s="1">
        <f t="shared" ca="1" si="9"/>
        <v>6</v>
      </c>
      <c r="E112" s="1">
        <f>VLOOKUP(C112,商品表!A:C,3,0)</f>
        <v>7.9</v>
      </c>
      <c r="F112" s="1">
        <f>VLOOKUP(C112,商品表!A:D,4,0)</f>
        <v>5</v>
      </c>
      <c r="G112" s="1">
        <f t="shared" ca="1" si="12"/>
        <v>47.400000000000006</v>
      </c>
      <c r="H112" s="1">
        <f t="shared" ca="1" si="13"/>
        <v>17.400000000000002</v>
      </c>
    </row>
    <row r="113" spans="1:8" x14ac:dyDescent="0.2">
      <c r="A113" s="2">
        <v>43892</v>
      </c>
      <c r="B113" s="1" t="s">
        <v>29</v>
      </c>
      <c r="C113" s="1">
        <v>101</v>
      </c>
      <c r="D113" s="1">
        <f t="shared" ca="1" si="9"/>
        <v>7</v>
      </c>
      <c r="E113" s="1">
        <f>VLOOKUP(C113,商品表!A:C,3,0)</f>
        <v>2.5</v>
      </c>
      <c r="F113" s="1">
        <f>VLOOKUP(C113,商品表!A:D,4,0)</f>
        <v>3</v>
      </c>
      <c r="G113" s="1">
        <f t="shared" ca="1" si="12"/>
        <v>17.5</v>
      </c>
      <c r="H113" s="1">
        <f t="shared" ca="1" si="13"/>
        <v>-3.5</v>
      </c>
    </row>
    <row r="114" spans="1:8" x14ac:dyDescent="0.2">
      <c r="A114" s="2">
        <v>43892</v>
      </c>
      <c r="B114" s="1" t="s">
        <v>30</v>
      </c>
      <c r="C114" s="1">
        <v>105</v>
      </c>
      <c r="D114" s="1">
        <f t="shared" ca="1" si="9"/>
        <v>3</v>
      </c>
      <c r="E114" s="1">
        <f>VLOOKUP(C114,商品表!A:C,3,0)</f>
        <v>8.8000000000000007</v>
      </c>
      <c r="F114" s="1">
        <f>VLOOKUP(C114,商品表!A:D,4,0)</f>
        <v>6.8</v>
      </c>
      <c r="G114" s="1">
        <f t="shared" ca="1" si="12"/>
        <v>26.400000000000002</v>
      </c>
      <c r="H114" s="1">
        <f t="shared" ca="1" si="13"/>
        <v>6.0000000000000027</v>
      </c>
    </row>
    <row r="115" spans="1:8" x14ac:dyDescent="0.2">
      <c r="A115" s="2">
        <v>43892</v>
      </c>
      <c r="B115" s="1" t="s">
        <v>30</v>
      </c>
      <c r="C115" s="1">
        <v>101</v>
      </c>
      <c r="D115" s="1">
        <f t="shared" ca="1" si="9"/>
        <v>3</v>
      </c>
      <c r="E115" s="1">
        <f>VLOOKUP(C115,商品表!A:C,3,0)</f>
        <v>2.5</v>
      </c>
      <c r="F115" s="1">
        <f>VLOOKUP(C115,商品表!A:D,4,0)</f>
        <v>3</v>
      </c>
      <c r="G115" s="1">
        <f t="shared" ca="1" si="12"/>
        <v>7.5</v>
      </c>
      <c r="H115" s="1">
        <f t="shared" ca="1" si="13"/>
        <v>-1.5</v>
      </c>
    </row>
    <row r="116" spans="1:8" x14ac:dyDescent="0.2">
      <c r="A116" s="2">
        <v>43892</v>
      </c>
      <c r="B116" s="1" t="s">
        <v>31</v>
      </c>
      <c r="C116" s="1">
        <v>102</v>
      </c>
      <c r="D116" s="1">
        <f t="shared" ca="1" si="9"/>
        <v>5</v>
      </c>
      <c r="E116" s="1">
        <f>VLOOKUP(C116,商品表!A:C,3,0)</f>
        <v>7.9</v>
      </c>
      <c r="F116" s="1">
        <f>VLOOKUP(C116,商品表!A:D,4,0)</f>
        <v>5</v>
      </c>
      <c r="G116" s="1">
        <f t="shared" ca="1" si="12"/>
        <v>39.5</v>
      </c>
      <c r="H116" s="1">
        <f t="shared" ca="1" si="13"/>
        <v>14.500000000000002</v>
      </c>
    </row>
    <row r="117" spans="1:8" x14ac:dyDescent="0.2">
      <c r="A117" s="2">
        <v>43892</v>
      </c>
      <c r="B117" s="1" t="s">
        <v>31</v>
      </c>
      <c r="C117" s="1">
        <v>101</v>
      </c>
      <c r="D117" s="1">
        <f t="shared" ca="1" si="9"/>
        <v>8</v>
      </c>
      <c r="E117" s="1">
        <f>VLOOKUP(C117,商品表!A:C,3,0)</f>
        <v>2.5</v>
      </c>
      <c r="F117" s="1">
        <f>VLOOKUP(C117,商品表!A:D,4,0)</f>
        <v>3</v>
      </c>
      <c r="G117" s="1">
        <f t="shared" ca="1" si="12"/>
        <v>20</v>
      </c>
      <c r="H117" s="1">
        <f t="shared" ca="1" si="13"/>
        <v>-4</v>
      </c>
    </row>
    <row r="118" spans="1:8" x14ac:dyDescent="0.2">
      <c r="A118" s="2">
        <v>43892</v>
      </c>
      <c r="B118" s="1" t="s">
        <v>32</v>
      </c>
      <c r="C118" s="1">
        <v>106</v>
      </c>
      <c r="D118" s="1">
        <f t="shared" ca="1" si="9"/>
        <v>4</v>
      </c>
      <c r="E118" s="1">
        <f>VLOOKUP(C118,商品表!A:C,3,0)</f>
        <v>5.9</v>
      </c>
      <c r="F118" s="1">
        <f>VLOOKUP(C118,商品表!A:D,4,0)</f>
        <v>3.9</v>
      </c>
      <c r="G118" s="1">
        <f t="shared" ca="1" si="12"/>
        <v>23.6</v>
      </c>
      <c r="H118" s="1">
        <f t="shared" ca="1" si="13"/>
        <v>8.0000000000000018</v>
      </c>
    </row>
    <row r="119" spans="1:8" x14ac:dyDescent="0.2">
      <c r="A119" s="2">
        <v>43892</v>
      </c>
      <c r="B119" s="1" t="s">
        <v>32</v>
      </c>
      <c r="C119" s="1">
        <v>101</v>
      </c>
      <c r="D119" s="1">
        <f t="shared" ca="1" si="9"/>
        <v>7</v>
      </c>
      <c r="E119" s="1">
        <f>VLOOKUP(C119,商品表!A:C,3,0)</f>
        <v>2.5</v>
      </c>
      <c r="F119" s="1">
        <f>VLOOKUP(C119,商品表!A:D,4,0)</f>
        <v>3</v>
      </c>
      <c r="G119" s="1">
        <f t="shared" ca="1" si="12"/>
        <v>17.5</v>
      </c>
      <c r="H119" s="1">
        <f t="shared" ca="1" si="13"/>
        <v>-3.5</v>
      </c>
    </row>
    <row r="120" spans="1:8" x14ac:dyDescent="0.2">
      <c r="A120" s="2">
        <v>43892</v>
      </c>
      <c r="B120" s="1" t="s">
        <v>33</v>
      </c>
      <c r="C120" s="1">
        <v>106</v>
      </c>
      <c r="D120" s="1">
        <f t="shared" ca="1" si="9"/>
        <v>9</v>
      </c>
      <c r="E120" s="1">
        <f>VLOOKUP(C120,商品表!A:C,3,0)</f>
        <v>5.9</v>
      </c>
      <c r="F120" s="1">
        <f>VLOOKUP(C120,商品表!A:D,4,0)</f>
        <v>3.9</v>
      </c>
      <c r="G120" s="1">
        <f t="shared" ca="1" si="12"/>
        <v>53.1</v>
      </c>
      <c r="H120" s="1">
        <f t="shared" ca="1" si="13"/>
        <v>18.000000000000004</v>
      </c>
    </row>
    <row r="121" spans="1:8" x14ac:dyDescent="0.2">
      <c r="A121" s="2">
        <v>43892</v>
      </c>
      <c r="B121" s="1" t="s">
        <v>33</v>
      </c>
      <c r="C121" s="1">
        <v>101</v>
      </c>
      <c r="D121" s="1">
        <f t="shared" ca="1" si="9"/>
        <v>9</v>
      </c>
      <c r="E121" s="1">
        <f>VLOOKUP(C121,商品表!A:C,3,0)</f>
        <v>2.5</v>
      </c>
      <c r="F121" s="1">
        <f>VLOOKUP(C121,商品表!A:D,4,0)</f>
        <v>3</v>
      </c>
      <c r="G121" s="1">
        <f t="shared" ca="1" si="12"/>
        <v>22.5</v>
      </c>
      <c r="H121" s="1">
        <f t="shared" ca="1" si="13"/>
        <v>-4.5</v>
      </c>
    </row>
    <row r="122" spans="1:8" x14ac:dyDescent="0.2">
      <c r="A122" s="2">
        <v>43892</v>
      </c>
      <c r="B122" s="1" t="s">
        <v>34</v>
      </c>
      <c r="C122" s="1">
        <v>106</v>
      </c>
      <c r="D122" s="1">
        <f t="shared" ca="1" si="9"/>
        <v>4</v>
      </c>
      <c r="E122" s="1">
        <f>VLOOKUP(C122,商品表!A:C,3,0)</f>
        <v>5.9</v>
      </c>
      <c r="F122" s="1">
        <f>VLOOKUP(C122,商品表!A:D,4,0)</f>
        <v>3.9</v>
      </c>
      <c r="G122" s="1">
        <f t="shared" ca="1" si="12"/>
        <v>23.6</v>
      </c>
      <c r="H122" s="1">
        <f t="shared" ca="1" si="13"/>
        <v>8.0000000000000018</v>
      </c>
    </row>
    <row r="123" spans="1:8" x14ac:dyDescent="0.2">
      <c r="A123" s="2">
        <v>43892</v>
      </c>
      <c r="B123" s="1" t="s">
        <v>34</v>
      </c>
      <c r="C123" s="1">
        <v>101</v>
      </c>
      <c r="D123" s="1">
        <f t="shared" ca="1" si="9"/>
        <v>7</v>
      </c>
      <c r="E123" s="1">
        <f>VLOOKUP(C123,商品表!A:C,3,0)</f>
        <v>2.5</v>
      </c>
      <c r="F123" s="1">
        <f>VLOOKUP(C123,商品表!A:D,4,0)</f>
        <v>3</v>
      </c>
      <c r="G123" s="1">
        <f t="shared" ca="1" si="12"/>
        <v>17.5</v>
      </c>
      <c r="H123" s="1">
        <f t="shared" ca="1" si="13"/>
        <v>-3.5</v>
      </c>
    </row>
    <row r="124" spans="1:8" x14ac:dyDescent="0.2">
      <c r="A124" s="2">
        <v>43892</v>
      </c>
      <c r="B124" s="1" t="s">
        <v>35</v>
      </c>
      <c r="C124" s="1">
        <v>106</v>
      </c>
      <c r="D124" s="1">
        <f t="shared" ca="1" si="9"/>
        <v>10</v>
      </c>
      <c r="E124" s="1">
        <f>VLOOKUP(C124,商品表!A:C,3,0)</f>
        <v>5.9</v>
      </c>
      <c r="F124" s="1">
        <f>VLOOKUP(C124,商品表!A:D,4,0)</f>
        <v>3.9</v>
      </c>
      <c r="G124" s="1">
        <f t="shared" ca="1" si="12"/>
        <v>59</v>
      </c>
      <c r="H124" s="1">
        <f t="shared" ca="1" si="13"/>
        <v>20.000000000000004</v>
      </c>
    </row>
    <row r="125" spans="1:8" x14ac:dyDescent="0.2">
      <c r="A125" s="2">
        <v>43892</v>
      </c>
      <c r="B125" s="1" t="s">
        <v>35</v>
      </c>
      <c r="C125" s="1">
        <v>103</v>
      </c>
      <c r="D125" s="1">
        <f t="shared" ca="1" si="9"/>
        <v>4</v>
      </c>
      <c r="E125" s="1">
        <f>VLOOKUP(C125,商品表!A:C,3,0)</f>
        <v>3.5</v>
      </c>
      <c r="F125" s="1">
        <f>VLOOKUP(C125,商品表!A:D,4,0)</f>
        <v>2.5</v>
      </c>
      <c r="G125" s="1">
        <f t="shared" ca="1" si="12"/>
        <v>14</v>
      </c>
      <c r="H125" s="1">
        <f t="shared" ca="1" si="13"/>
        <v>4</v>
      </c>
    </row>
    <row r="126" spans="1:8" x14ac:dyDescent="0.2">
      <c r="A126" s="2">
        <v>43892</v>
      </c>
      <c r="B126" s="1" t="s">
        <v>36</v>
      </c>
      <c r="C126" s="1">
        <v>104</v>
      </c>
      <c r="D126" s="1">
        <f t="shared" ca="1" si="9"/>
        <v>7</v>
      </c>
      <c r="E126" s="1">
        <f>VLOOKUP(C126,商品表!A:C,3,0)</f>
        <v>19.899999999999999</v>
      </c>
      <c r="F126" s="1">
        <f>VLOOKUP(C126,商品表!A:D,4,0)</f>
        <v>17.899999999999999</v>
      </c>
      <c r="G126" s="1">
        <f t="shared" ca="1" si="12"/>
        <v>139.29999999999998</v>
      </c>
      <c r="H126" s="1">
        <f t="shared" ca="1" si="13"/>
        <v>14</v>
      </c>
    </row>
    <row r="127" spans="1:8" x14ac:dyDescent="0.2">
      <c r="A127" s="2">
        <v>43892</v>
      </c>
      <c r="B127" s="1" t="s">
        <v>36</v>
      </c>
      <c r="C127" s="1">
        <v>101</v>
      </c>
      <c r="D127" s="1">
        <f t="shared" ca="1" si="9"/>
        <v>7</v>
      </c>
      <c r="E127" s="1">
        <f>VLOOKUP(C127,商品表!A:C,3,0)</f>
        <v>2.5</v>
      </c>
      <c r="F127" s="1">
        <f>VLOOKUP(C127,商品表!A:D,4,0)</f>
        <v>3</v>
      </c>
      <c r="G127" s="1">
        <f t="shared" ca="1" si="12"/>
        <v>17.5</v>
      </c>
      <c r="H127" s="1">
        <f t="shared" ca="1" si="13"/>
        <v>-3.5</v>
      </c>
    </row>
    <row r="128" spans="1:8" x14ac:dyDescent="0.2">
      <c r="A128" s="2">
        <v>43892</v>
      </c>
      <c r="B128" s="1" t="s">
        <v>37</v>
      </c>
      <c r="C128" s="1">
        <v>106</v>
      </c>
      <c r="D128" s="1">
        <f t="shared" ca="1" si="9"/>
        <v>5</v>
      </c>
      <c r="E128" s="1">
        <f>VLOOKUP(C128,商品表!A:C,3,0)</f>
        <v>5.9</v>
      </c>
      <c r="F128" s="1">
        <f>VLOOKUP(C128,商品表!A:D,4,0)</f>
        <v>3.9</v>
      </c>
      <c r="G128" s="1">
        <f t="shared" ca="1" si="12"/>
        <v>29.5</v>
      </c>
      <c r="H128" s="1">
        <f t="shared" ca="1" si="13"/>
        <v>10.000000000000002</v>
      </c>
    </row>
    <row r="129" spans="1:8" x14ac:dyDescent="0.2">
      <c r="A129" s="2">
        <v>43892</v>
      </c>
      <c r="B129" s="1" t="s">
        <v>37</v>
      </c>
      <c r="C129" s="1">
        <v>102</v>
      </c>
      <c r="D129" s="1">
        <f t="shared" ca="1" si="9"/>
        <v>9</v>
      </c>
      <c r="E129" s="1">
        <f>VLOOKUP(C129,商品表!A:C,3,0)</f>
        <v>7.9</v>
      </c>
      <c r="F129" s="1">
        <f>VLOOKUP(C129,商品表!A:D,4,0)</f>
        <v>5</v>
      </c>
      <c r="G129" s="1">
        <f t="shared" ca="1" si="12"/>
        <v>71.100000000000009</v>
      </c>
      <c r="H129" s="1">
        <f t="shared" ca="1" si="13"/>
        <v>26.1</v>
      </c>
    </row>
    <row r="130" spans="1:8" x14ac:dyDescent="0.2">
      <c r="A130" s="2">
        <v>43892</v>
      </c>
      <c r="B130" s="1" t="s">
        <v>38</v>
      </c>
      <c r="C130" s="1">
        <v>101</v>
      </c>
      <c r="D130" s="1">
        <f t="shared" ca="1" si="9"/>
        <v>3</v>
      </c>
      <c r="E130" s="1">
        <f>VLOOKUP(C130,商品表!A:C,3,0)</f>
        <v>2.5</v>
      </c>
      <c r="F130" s="1">
        <f>VLOOKUP(C130,商品表!A:D,4,0)</f>
        <v>3</v>
      </c>
      <c r="G130" s="1">
        <f t="shared" ca="1" si="12"/>
        <v>7.5</v>
      </c>
      <c r="H130" s="1">
        <f t="shared" ca="1" si="13"/>
        <v>-1.5</v>
      </c>
    </row>
    <row r="131" spans="1:8" x14ac:dyDescent="0.2">
      <c r="A131" s="2">
        <v>43892</v>
      </c>
      <c r="B131" s="1" t="s">
        <v>38</v>
      </c>
      <c r="C131" s="1">
        <v>102</v>
      </c>
      <c r="D131" s="1">
        <f t="shared" ref="D131:D194" ca="1" si="14">RANDBETWEEN(3,10)</f>
        <v>4</v>
      </c>
      <c r="E131" s="1">
        <f>VLOOKUP(C131,商品表!A:C,3,0)</f>
        <v>7.9</v>
      </c>
      <c r="F131" s="1">
        <f>VLOOKUP(C131,商品表!A:D,4,0)</f>
        <v>5</v>
      </c>
      <c r="G131" s="1">
        <f t="shared" ca="1" si="12"/>
        <v>31.6</v>
      </c>
      <c r="H131" s="1">
        <f t="shared" ca="1" si="13"/>
        <v>11.600000000000001</v>
      </c>
    </row>
    <row r="132" spans="1:8" x14ac:dyDescent="0.2">
      <c r="A132" s="2">
        <v>43892</v>
      </c>
      <c r="B132" s="1" t="s">
        <v>39</v>
      </c>
      <c r="C132" s="1">
        <v>101</v>
      </c>
      <c r="D132" s="1">
        <f t="shared" ca="1" si="14"/>
        <v>9</v>
      </c>
      <c r="E132" s="1">
        <f>VLOOKUP(C132,商品表!A:C,3,0)</f>
        <v>2.5</v>
      </c>
      <c r="F132" s="1">
        <f>VLOOKUP(C132,商品表!A:D,4,0)</f>
        <v>3</v>
      </c>
      <c r="G132" s="1">
        <f t="shared" ca="1" si="12"/>
        <v>22.5</v>
      </c>
      <c r="H132" s="1">
        <f t="shared" ca="1" si="13"/>
        <v>-4.5</v>
      </c>
    </row>
    <row r="133" spans="1:8" x14ac:dyDescent="0.2">
      <c r="A133" s="2">
        <v>43892</v>
      </c>
      <c r="B133" s="1" t="s">
        <v>39</v>
      </c>
      <c r="C133" s="1">
        <v>104</v>
      </c>
      <c r="D133" s="1">
        <f t="shared" ca="1" si="14"/>
        <v>9</v>
      </c>
      <c r="E133" s="1">
        <f>VLOOKUP(C133,商品表!A:C,3,0)</f>
        <v>19.899999999999999</v>
      </c>
      <c r="F133" s="1">
        <f>VLOOKUP(C133,商品表!A:D,4,0)</f>
        <v>17.899999999999999</v>
      </c>
      <c r="G133" s="1">
        <f t="shared" ca="1" si="12"/>
        <v>179.1</v>
      </c>
      <c r="H133" s="1">
        <f t="shared" ca="1" si="13"/>
        <v>18</v>
      </c>
    </row>
    <row r="134" spans="1:8" x14ac:dyDescent="0.2">
      <c r="A134" s="2">
        <v>43892</v>
      </c>
      <c r="B134" s="1" t="s">
        <v>40</v>
      </c>
      <c r="C134" s="1">
        <v>101</v>
      </c>
      <c r="D134" s="1">
        <f t="shared" ca="1" si="14"/>
        <v>3</v>
      </c>
      <c r="E134" s="1">
        <f>VLOOKUP(C134,商品表!A:C,3,0)</f>
        <v>2.5</v>
      </c>
      <c r="F134" s="1">
        <f>VLOOKUP(C134,商品表!A:D,4,0)</f>
        <v>3</v>
      </c>
      <c r="G134" s="1">
        <f t="shared" ca="1" si="12"/>
        <v>7.5</v>
      </c>
      <c r="H134" s="1">
        <f t="shared" ca="1" si="13"/>
        <v>-1.5</v>
      </c>
    </row>
    <row r="135" spans="1:8" x14ac:dyDescent="0.2">
      <c r="A135" s="2">
        <v>43892</v>
      </c>
      <c r="B135" s="1" t="s">
        <v>40</v>
      </c>
      <c r="C135" s="1">
        <v>102</v>
      </c>
      <c r="D135" s="1">
        <f t="shared" ca="1" si="14"/>
        <v>7</v>
      </c>
      <c r="E135" s="1">
        <f>VLOOKUP(C135,商品表!A:C,3,0)</f>
        <v>7.9</v>
      </c>
      <c r="F135" s="1">
        <f>VLOOKUP(C135,商品表!A:D,4,0)</f>
        <v>5</v>
      </c>
      <c r="G135" s="1">
        <f t="shared" ca="1" si="12"/>
        <v>55.300000000000004</v>
      </c>
      <c r="H135" s="1">
        <f t="shared" ca="1" si="13"/>
        <v>20.300000000000004</v>
      </c>
    </row>
    <row r="136" spans="1:8" x14ac:dyDescent="0.2">
      <c r="A136" s="2">
        <v>43892</v>
      </c>
      <c r="B136" s="1" t="s">
        <v>41</v>
      </c>
      <c r="C136" s="1">
        <v>106</v>
      </c>
      <c r="D136" s="1">
        <f t="shared" ca="1" si="14"/>
        <v>4</v>
      </c>
      <c r="E136" s="1">
        <f>VLOOKUP(C136,商品表!A:C,3,0)</f>
        <v>5.9</v>
      </c>
      <c r="F136" s="1">
        <f>VLOOKUP(C136,商品表!A:D,4,0)</f>
        <v>3.9</v>
      </c>
      <c r="G136" s="1">
        <f t="shared" ca="1" si="12"/>
        <v>23.6</v>
      </c>
      <c r="H136" s="1">
        <f t="shared" ca="1" si="13"/>
        <v>8.0000000000000018</v>
      </c>
    </row>
    <row r="137" spans="1:8" x14ac:dyDescent="0.2">
      <c r="A137" s="2">
        <v>43892</v>
      </c>
      <c r="B137" s="1" t="s">
        <v>41</v>
      </c>
      <c r="C137" s="1">
        <v>102</v>
      </c>
      <c r="D137" s="1">
        <f t="shared" ca="1" si="14"/>
        <v>8</v>
      </c>
      <c r="E137" s="1">
        <f>VLOOKUP(C137,商品表!A:C,3,0)</f>
        <v>7.9</v>
      </c>
      <c r="F137" s="1">
        <f>VLOOKUP(C137,商品表!A:D,4,0)</f>
        <v>5</v>
      </c>
      <c r="G137" s="1">
        <f t="shared" ca="1" si="12"/>
        <v>63.2</v>
      </c>
      <c r="H137" s="1">
        <f t="shared" ca="1" si="13"/>
        <v>23.200000000000003</v>
      </c>
    </row>
    <row r="138" spans="1:8" x14ac:dyDescent="0.2">
      <c r="A138" s="2">
        <v>43892</v>
      </c>
      <c r="B138" s="1" t="s">
        <v>48</v>
      </c>
      <c r="C138" s="1">
        <v>101</v>
      </c>
      <c r="D138" s="1">
        <f t="shared" ca="1" si="14"/>
        <v>10</v>
      </c>
      <c r="E138" s="1">
        <f>VLOOKUP(C138,商品表!A:C,3,0)</f>
        <v>2.5</v>
      </c>
      <c r="F138" s="1">
        <f>VLOOKUP(C138,商品表!A:D,4,0)</f>
        <v>3</v>
      </c>
      <c r="G138" s="1">
        <f t="shared" ca="1" si="12"/>
        <v>25</v>
      </c>
      <c r="H138" s="1">
        <f t="shared" ca="1" si="13"/>
        <v>-5</v>
      </c>
    </row>
    <row r="139" spans="1:8" x14ac:dyDescent="0.2">
      <c r="A139" s="2">
        <v>43892</v>
      </c>
      <c r="B139" s="1" t="s">
        <v>86</v>
      </c>
      <c r="C139" s="1">
        <v>101</v>
      </c>
      <c r="D139" s="1">
        <f t="shared" ca="1" si="14"/>
        <v>9</v>
      </c>
      <c r="E139" s="1">
        <f>VLOOKUP(C139,商品表!A:C,3,0)</f>
        <v>2.5</v>
      </c>
      <c r="F139" s="1">
        <f>VLOOKUP(C139,商品表!A:D,4,0)</f>
        <v>3</v>
      </c>
      <c r="G139" s="1">
        <f t="shared" ca="1" si="12"/>
        <v>22.5</v>
      </c>
      <c r="H139" s="1">
        <f t="shared" ca="1" si="13"/>
        <v>-4.5</v>
      </c>
    </row>
    <row r="140" spans="1:8" x14ac:dyDescent="0.2">
      <c r="A140" s="2">
        <v>43892</v>
      </c>
      <c r="B140" s="1" t="s">
        <v>87</v>
      </c>
      <c r="C140" s="1">
        <v>101</v>
      </c>
      <c r="D140" s="1">
        <f t="shared" ca="1" si="14"/>
        <v>8</v>
      </c>
      <c r="E140" s="1">
        <f>VLOOKUP(C140,商品表!A:C,3,0)</f>
        <v>2.5</v>
      </c>
      <c r="F140" s="1">
        <f>VLOOKUP(C140,商品表!A:D,4,0)</f>
        <v>3</v>
      </c>
      <c r="G140" s="1">
        <f t="shared" ca="1" si="12"/>
        <v>20</v>
      </c>
      <c r="H140" s="1">
        <f t="shared" ca="1" si="13"/>
        <v>-4</v>
      </c>
    </row>
    <row r="141" spans="1:8" x14ac:dyDescent="0.2">
      <c r="A141" s="2">
        <v>43892</v>
      </c>
      <c r="B141" s="1" t="s">
        <v>88</v>
      </c>
      <c r="C141" s="1">
        <v>101</v>
      </c>
      <c r="D141" s="1">
        <f t="shared" ca="1" si="14"/>
        <v>8</v>
      </c>
      <c r="E141" s="1">
        <f>VLOOKUP(C141,商品表!A:C,3,0)</f>
        <v>2.5</v>
      </c>
      <c r="F141" s="1">
        <f>VLOOKUP(C141,商品表!A:D,4,0)</f>
        <v>3</v>
      </c>
      <c r="G141" s="1">
        <f t="shared" ca="1" si="12"/>
        <v>20</v>
      </c>
      <c r="H141" s="1">
        <f t="shared" ca="1" si="13"/>
        <v>-4</v>
      </c>
    </row>
    <row r="142" spans="1:8" x14ac:dyDescent="0.2">
      <c r="A142" s="2">
        <v>43892</v>
      </c>
      <c r="B142" s="1" t="s">
        <v>89</v>
      </c>
      <c r="C142" s="1">
        <v>101</v>
      </c>
      <c r="D142" s="1">
        <f t="shared" ca="1" si="14"/>
        <v>3</v>
      </c>
      <c r="E142" s="1">
        <f>VLOOKUP(C142,商品表!A:C,3,0)</f>
        <v>2.5</v>
      </c>
      <c r="F142" s="1">
        <f>VLOOKUP(C142,商品表!A:D,4,0)</f>
        <v>3</v>
      </c>
      <c r="G142" s="1">
        <f t="shared" ca="1" si="12"/>
        <v>7.5</v>
      </c>
      <c r="H142" s="1">
        <f t="shared" ca="1" si="13"/>
        <v>-1.5</v>
      </c>
    </row>
    <row r="143" spans="1:8" x14ac:dyDescent="0.2">
      <c r="A143" s="2">
        <v>43892</v>
      </c>
      <c r="B143" s="1" t="s">
        <v>90</v>
      </c>
      <c r="C143" s="1">
        <v>101</v>
      </c>
      <c r="D143" s="1">
        <f t="shared" ca="1" si="14"/>
        <v>9</v>
      </c>
      <c r="E143" s="1">
        <f>VLOOKUP(C143,商品表!A:C,3,0)</f>
        <v>2.5</v>
      </c>
      <c r="F143" s="1">
        <f>VLOOKUP(C143,商品表!A:D,4,0)</f>
        <v>3</v>
      </c>
      <c r="G143" s="1">
        <f t="shared" ca="1" si="12"/>
        <v>22.5</v>
      </c>
      <c r="H143" s="1">
        <f t="shared" ca="1" si="13"/>
        <v>-4.5</v>
      </c>
    </row>
    <row r="144" spans="1:8" x14ac:dyDescent="0.2">
      <c r="A144" s="2">
        <v>43892</v>
      </c>
      <c r="B144" s="1" t="s">
        <v>91</v>
      </c>
      <c r="C144" s="1">
        <v>101</v>
      </c>
      <c r="D144" s="1">
        <f t="shared" ca="1" si="14"/>
        <v>8</v>
      </c>
      <c r="E144" s="1">
        <f>VLOOKUP(C144,商品表!A:C,3,0)</f>
        <v>2.5</v>
      </c>
      <c r="F144" s="1">
        <f>VLOOKUP(C144,商品表!A:D,4,0)</f>
        <v>3</v>
      </c>
      <c r="G144" s="1">
        <f t="shared" ca="1" si="12"/>
        <v>20</v>
      </c>
      <c r="H144" s="1">
        <f t="shared" ca="1" si="13"/>
        <v>-4</v>
      </c>
    </row>
    <row r="145" spans="1:8" x14ac:dyDescent="0.2">
      <c r="A145" s="2">
        <v>43892</v>
      </c>
      <c r="B145" s="1" t="s">
        <v>92</v>
      </c>
      <c r="C145" s="1">
        <v>101</v>
      </c>
      <c r="D145" s="1">
        <f t="shared" ca="1" si="14"/>
        <v>7</v>
      </c>
      <c r="E145" s="1">
        <f>VLOOKUP(C145,商品表!A:C,3,0)</f>
        <v>2.5</v>
      </c>
      <c r="F145" s="1">
        <f>VLOOKUP(C145,商品表!A:D,4,0)</f>
        <v>3</v>
      </c>
      <c r="G145" s="1">
        <f t="shared" ca="1" si="12"/>
        <v>17.5</v>
      </c>
      <c r="H145" s="1">
        <f t="shared" ca="1" si="13"/>
        <v>-3.5</v>
      </c>
    </row>
    <row r="146" spans="1:8" x14ac:dyDescent="0.2">
      <c r="A146" s="2">
        <v>43892</v>
      </c>
      <c r="B146" s="1" t="s">
        <v>93</v>
      </c>
      <c r="C146" s="1">
        <v>101</v>
      </c>
      <c r="D146" s="1">
        <f t="shared" ca="1" si="14"/>
        <v>7</v>
      </c>
      <c r="E146" s="1">
        <f>VLOOKUP(C146,商品表!A:C,3,0)</f>
        <v>2.5</v>
      </c>
      <c r="F146" s="1">
        <f>VLOOKUP(C146,商品表!A:D,4,0)</f>
        <v>3</v>
      </c>
      <c r="G146" s="1">
        <f t="shared" ca="1" si="12"/>
        <v>17.5</v>
      </c>
      <c r="H146" s="1">
        <f t="shared" ca="1" si="13"/>
        <v>-3.5</v>
      </c>
    </row>
    <row r="147" spans="1:8" x14ac:dyDescent="0.2">
      <c r="A147" s="2">
        <v>43892</v>
      </c>
      <c r="B147" s="1" t="s">
        <v>94</v>
      </c>
      <c r="C147" s="1">
        <v>101</v>
      </c>
      <c r="D147" s="1">
        <f t="shared" ca="1" si="14"/>
        <v>5</v>
      </c>
      <c r="E147" s="1">
        <f>VLOOKUP(C147,商品表!A:C,3,0)</f>
        <v>2.5</v>
      </c>
      <c r="F147" s="1">
        <f>VLOOKUP(C147,商品表!A:D,4,0)</f>
        <v>3</v>
      </c>
      <c r="G147" s="1">
        <f t="shared" ca="1" si="12"/>
        <v>12.5</v>
      </c>
      <c r="H147" s="1">
        <f t="shared" ca="1" si="13"/>
        <v>-2.5</v>
      </c>
    </row>
    <row r="148" spans="1:8" x14ac:dyDescent="0.2">
      <c r="A148" s="2">
        <v>43892</v>
      </c>
      <c r="B148" s="1" t="s">
        <v>95</v>
      </c>
      <c r="C148" s="1">
        <v>101</v>
      </c>
      <c r="D148" s="1">
        <f t="shared" ca="1" si="14"/>
        <v>5</v>
      </c>
      <c r="E148" s="1">
        <f>VLOOKUP(C148,商品表!A:C,3,0)</f>
        <v>2.5</v>
      </c>
      <c r="F148" s="1">
        <f>VLOOKUP(C148,商品表!A:D,4,0)</f>
        <v>3</v>
      </c>
      <c r="G148" s="1">
        <f t="shared" ca="1" si="12"/>
        <v>12.5</v>
      </c>
      <c r="H148" s="1">
        <f t="shared" ca="1" si="13"/>
        <v>-2.5</v>
      </c>
    </row>
    <row r="149" spans="1:8" x14ac:dyDescent="0.2">
      <c r="A149" s="2">
        <v>43892</v>
      </c>
      <c r="B149" s="1" t="s">
        <v>96</v>
      </c>
      <c r="C149" s="1">
        <v>101</v>
      </c>
      <c r="D149" s="1">
        <f t="shared" ca="1" si="14"/>
        <v>6</v>
      </c>
      <c r="E149" s="1">
        <f>VLOOKUP(C149,商品表!A:C,3,0)</f>
        <v>2.5</v>
      </c>
      <c r="F149" s="1">
        <f>VLOOKUP(C149,商品表!A:D,4,0)</f>
        <v>3</v>
      </c>
      <c r="G149" s="1">
        <f t="shared" ca="1" si="12"/>
        <v>15</v>
      </c>
      <c r="H149" s="1">
        <f t="shared" ca="1" si="13"/>
        <v>-3</v>
      </c>
    </row>
    <row r="150" spans="1:8" x14ac:dyDescent="0.2">
      <c r="A150" s="2">
        <v>43892</v>
      </c>
      <c r="B150" s="1" t="s">
        <v>97</v>
      </c>
      <c r="C150" s="1">
        <v>101</v>
      </c>
      <c r="D150" s="1">
        <f t="shared" ca="1" si="14"/>
        <v>5</v>
      </c>
      <c r="E150" s="1">
        <f>VLOOKUP(C150,商品表!A:C,3,0)</f>
        <v>2.5</v>
      </c>
      <c r="F150" s="1">
        <f>VLOOKUP(C150,商品表!A:D,4,0)</f>
        <v>3</v>
      </c>
      <c r="G150" s="1">
        <f t="shared" ca="1" si="12"/>
        <v>12.5</v>
      </c>
      <c r="H150" s="1">
        <f t="shared" ca="1" si="13"/>
        <v>-2.5</v>
      </c>
    </row>
    <row r="151" spans="1:8" x14ac:dyDescent="0.2">
      <c r="A151" s="2">
        <v>43892</v>
      </c>
      <c r="B151" s="1" t="s">
        <v>98</v>
      </c>
      <c r="C151" s="1">
        <v>101</v>
      </c>
      <c r="D151" s="1">
        <f t="shared" ca="1" si="14"/>
        <v>9</v>
      </c>
      <c r="E151" s="1">
        <f>VLOOKUP(C151,商品表!A:C,3,0)</f>
        <v>2.5</v>
      </c>
      <c r="F151" s="1">
        <f>VLOOKUP(C151,商品表!A:D,4,0)</f>
        <v>3</v>
      </c>
      <c r="G151" s="1">
        <f t="shared" ca="1" si="12"/>
        <v>22.5</v>
      </c>
      <c r="H151" s="1">
        <f t="shared" ca="1" si="13"/>
        <v>-4.5</v>
      </c>
    </row>
    <row r="152" spans="1:8" x14ac:dyDescent="0.2">
      <c r="A152" s="2">
        <v>43892</v>
      </c>
      <c r="B152" s="1" t="s">
        <v>99</v>
      </c>
      <c r="C152" s="1">
        <v>101</v>
      </c>
      <c r="D152" s="1">
        <f t="shared" ca="1" si="14"/>
        <v>10</v>
      </c>
      <c r="E152" s="1">
        <f>VLOOKUP(C152,商品表!A:C,3,0)</f>
        <v>2.5</v>
      </c>
      <c r="F152" s="1">
        <f>VLOOKUP(C152,商品表!A:D,4,0)</f>
        <v>3</v>
      </c>
      <c r="G152" s="1">
        <f t="shared" ca="1" si="12"/>
        <v>25</v>
      </c>
      <c r="H152" s="1">
        <f t="shared" ca="1" si="13"/>
        <v>-5</v>
      </c>
    </row>
    <row r="153" spans="1:8" x14ac:dyDescent="0.2">
      <c r="A153" s="2">
        <v>43892</v>
      </c>
      <c r="B153" s="1" t="s">
        <v>100</v>
      </c>
      <c r="C153" s="1">
        <v>101</v>
      </c>
      <c r="D153" s="1">
        <f t="shared" ca="1" si="14"/>
        <v>4</v>
      </c>
      <c r="E153" s="1">
        <f>VLOOKUP(C153,商品表!A:C,3,0)</f>
        <v>2.5</v>
      </c>
      <c r="F153" s="1">
        <f>VLOOKUP(C153,商品表!A:D,4,0)</f>
        <v>3</v>
      </c>
      <c r="G153" s="1">
        <f t="shared" ca="1" si="12"/>
        <v>10</v>
      </c>
      <c r="H153" s="1">
        <f t="shared" ca="1" si="13"/>
        <v>-2</v>
      </c>
    </row>
    <row r="154" spans="1:8" x14ac:dyDescent="0.2">
      <c r="A154" s="2">
        <v>43892</v>
      </c>
      <c r="B154" s="1" t="s">
        <v>101</v>
      </c>
      <c r="C154" s="1">
        <v>101</v>
      </c>
      <c r="D154" s="1">
        <f t="shared" ca="1" si="14"/>
        <v>8</v>
      </c>
      <c r="E154" s="1">
        <f>VLOOKUP(C154,商品表!A:C,3,0)</f>
        <v>2.5</v>
      </c>
      <c r="F154" s="1">
        <f>VLOOKUP(C154,商品表!A:D,4,0)</f>
        <v>3</v>
      </c>
      <c r="G154" s="1">
        <f t="shared" ca="1" si="12"/>
        <v>20</v>
      </c>
      <c r="H154" s="1">
        <f t="shared" ca="1" si="13"/>
        <v>-4</v>
      </c>
    </row>
    <row r="155" spans="1:8" x14ac:dyDescent="0.2">
      <c r="A155" s="2">
        <v>43892</v>
      </c>
      <c r="B155" s="1" t="s">
        <v>102</v>
      </c>
      <c r="C155" s="1">
        <v>101</v>
      </c>
      <c r="D155" s="1">
        <f t="shared" ca="1" si="14"/>
        <v>7</v>
      </c>
      <c r="E155" s="1">
        <f>VLOOKUP(C155,商品表!A:C,3,0)</f>
        <v>2.5</v>
      </c>
      <c r="F155" s="1">
        <f>VLOOKUP(C155,商品表!A:D,4,0)</f>
        <v>3</v>
      </c>
      <c r="G155" s="1">
        <f t="shared" ca="1" si="12"/>
        <v>17.5</v>
      </c>
      <c r="H155" s="1">
        <f t="shared" ca="1" si="13"/>
        <v>-3.5</v>
      </c>
    </row>
    <row r="156" spans="1:8" x14ac:dyDescent="0.2">
      <c r="A156" s="2">
        <v>43892</v>
      </c>
      <c r="B156" s="1" t="s">
        <v>103</v>
      </c>
      <c r="C156" s="1">
        <v>101</v>
      </c>
      <c r="D156" s="1">
        <f t="shared" ca="1" si="14"/>
        <v>10</v>
      </c>
      <c r="E156" s="1">
        <f>VLOOKUP(C156,商品表!A:C,3,0)</f>
        <v>2.5</v>
      </c>
      <c r="F156" s="1">
        <f>VLOOKUP(C156,商品表!A:D,4,0)</f>
        <v>3</v>
      </c>
      <c r="G156" s="1">
        <f t="shared" ca="1" si="12"/>
        <v>25</v>
      </c>
      <c r="H156" s="1">
        <f t="shared" ca="1" si="13"/>
        <v>-5</v>
      </c>
    </row>
    <row r="157" spans="1:8" x14ac:dyDescent="0.2">
      <c r="A157" s="2">
        <v>43892</v>
      </c>
      <c r="B157" s="1" t="s">
        <v>104</v>
      </c>
      <c r="C157" s="1">
        <v>101</v>
      </c>
      <c r="D157" s="1">
        <f t="shared" ca="1" si="14"/>
        <v>4</v>
      </c>
      <c r="E157" s="1">
        <f>VLOOKUP(C157,商品表!A:C,3,0)</f>
        <v>2.5</v>
      </c>
      <c r="F157" s="1">
        <f>VLOOKUP(C157,商品表!A:D,4,0)</f>
        <v>3</v>
      </c>
      <c r="G157" s="1">
        <f t="shared" ca="1" si="12"/>
        <v>10</v>
      </c>
      <c r="H157" s="1">
        <f t="shared" ca="1" si="13"/>
        <v>-2</v>
      </c>
    </row>
    <row r="158" spans="1:8" x14ac:dyDescent="0.2">
      <c r="A158" s="2">
        <v>43892</v>
      </c>
      <c r="B158" s="1" t="s">
        <v>105</v>
      </c>
      <c r="C158" s="1">
        <v>101</v>
      </c>
      <c r="D158" s="1">
        <f t="shared" ca="1" si="14"/>
        <v>5</v>
      </c>
      <c r="E158" s="1">
        <f>VLOOKUP(C158,商品表!A:C,3,0)</f>
        <v>2.5</v>
      </c>
      <c r="F158" s="1">
        <f>VLOOKUP(C158,商品表!A:D,4,0)</f>
        <v>3</v>
      </c>
      <c r="G158" s="1">
        <f t="shared" ca="1" si="12"/>
        <v>12.5</v>
      </c>
      <c r="H158" s="1">
        <f t="shared" ca="1" si="13"/>
        <v>-2.5</v>
      </c>
    </row>
    <row r="159" spans="1:8" x14ac:dyDescent="0.2">
      <c r="A159" s="2">
        <v>43892</v>
      </c>
      <c r="B159" s="1" t="s">
        <v>106</v>
      </c>
      <c r="C159" s="1">
        <v>101</v>
      </c>
      <c r="D159" s="1">
        <f t="shared" ca="1" si="14"/>
        <v>8</v>
      </c>
      <c r="E159" s="1">
        <f>VLOOKUP(C159,商品表!A:C,3,0)</f>
        <v>2.5</v>
      </c>
      <c r="F159" s="1">
        <f>VLOOKUP(C159,商品表!A:D,4,0)</f>
        <v>3</v>
      </c>
      <c r="G159" s="1">
        <f t="shared" ca="1" si="12"/>
        <v>20</v>
      </c>
      <c r="H159" s="1">
        <f t="shared" ca="1" si="13"/>
        <v>-4</v>
      </c>
    </row>
    <row r="160" spans="1:8" x14ac:dyDescent="0.2">
      <c r="A160" s="2">
        <v>43892</v>
      </c>
      <c r="B160" s="1" t="s">
        <v>107</v>
      </c>
      <c r="C160" s="1">
        <v>101</v>
      </c>
      <c r="D160" s="1">
        <f t="shared" ca="1" si="14"/>
        <v>3</v>
      </c>
      <c r="E160" s="1">
        <f>VLOOKUP(C160,商品表!A:C,3,0)</f>
        <v>2.5</v>
      </c>
      <c r="F160" s="1">
        <f>VLOOKUP(C160,商品表!A:D,4,0)</f>
        <v>3</v>
      </c>
      <c r="G160" s="1">
        <f t="shared" ca="1" si="12"/>
        <v>7.5</v>
      </c>
      <c r="H160" s="1">
        <f t="shared" ca="1" si="13"/>
        <v>-1.5</v>
      </c>
    </row>
    <row r="161" spans="1:8" x14ac:dyDescent="0.2">
      <c r="A161" s="2">
        <v>43892</v>
      </c>
      <c r="B161" s="1" t="s">
        <v>108</v>
      </c>
      <c r="C161" s="1">
        <v>101</v>
      </c>
      <c r="D161" s="1">
        <f t="shared" ca="1" si="14"/>
        <v>4</v>
      </c>
      <c r="E161" s="1">
        <f>VLOOKUP(C161,商品表!A:C,3,0)</f>
        <v>2.5</v>
      </c>
      <c r="F161" s="1">
        <f>VLOOKUP(C161,商品表!A:D,4,0)</f>
        <v>3</v>
      </c>
      <c r="G161" s="1">
        <f t="shared" ca="1" si="12"/>
        <v>10</v>
      </c>
      <c r="H161" s="1">
        <f t="shared" ca="1" si="13"/>
        <v>-2</v>
      </c>
    </row>
    <row r="162" spans="1:8" x14ac:dyDescent="0.2">
      <c r="A162" s="2">
        <v>43892</v>
      </c>
      <c r="B162" s="1" t="s">
        <v>109</v>
      </c>
      <c r="C162" s="1">
        <v>101</v>
      </c>
      <c r="D162" s="1">
        <f t="shared" ca="1" si="14"/>
        <v>5</v>
      </c>
      <c r="E162" s="1">
        <f>VLOOKUP(C162,商品表!A:C,3,0)</f>
        <v>2.5</v>
      </c>
      <c r="F162" s="1">
        <f>VLOOKUP(C162,商品表!A:D,4,0)</f>
        <v>3</v>
      </c>
      <c r="G162" s="1">
        <f t="shared" ca="1" si="12"/>
        <v>12.5</v>
      </c>
      <c r="H162" s="1">
        <f t="shared" ca="1" si="13"/>
        <v>-2.5</v>
      </c>
    </row>
    <row r="163" spans="1:8" x14ac:dyDescent="0.2">
      <c r="A163" s="2">
        <v>43892</v>
      </c>
      <c r="B163" s="1" t="s">
        <v>110</v>
      </c>
      <c r="C163" s="1">
        <v>101</v>
      </c>
      <c r="D163" s="1">
        <f t="shared" ca="1" si="14"/>
        <v>6</v>
      </c>
      <c r="E163" s="1">
        <f>VLOOKUP(C163,商品表!A:C,3,0)</f>
        <v>2.5</v>
      </c>
      <c r="F163" s="1">
        <f>VLOOKUP(C163,商品表!A:D,4,0)</f>
        <v>3</v>
      </c>
      <c r="G163" s="1">
        <f t="shared" ca="1" si="12"/>
        <v>15</v>
      </c>
      <c r="H163" s="1">
        <f t="shared" ca="1" si="13"/>
        <v>-3</v>
      </c>
    </row>
    <row r="164" spans="1:8" x14ac:dyDescent="0.2">
      <c r="A164" s="2">
        <v>43892</v>
      </c>
      <c r="B164" s="1" t="s">
        <v>111</v>
      </c>
      <c r="C164" s="1">
        <v>101</v>
      </c>
      <c r="D164" s="1">
        <f t="shared" ca="1" si="14"/>
        <v>5</v>
      </c>
      <c r="E164" s="1">
        <f>VLOOKUP(C164,商品表!A:C,3,0)</f>
        <v>2.5</v>
      </c>
      <c r="F164" s="1">
        <f>VLOOKUP(C164,商品表!A:D,4,0)</f>
        <v>3</v>
      </c>
      <c r="G164" s="1">
        <f t="shared" ca="1" si="12"/>
        <v>12.5</v>
      </c>
      <c r="H164" s="1">
        <f t="shared" ca="1" si="13"/>
        <v>-2.5</v>
      </c>
    </row>
    <row r="165" spans="1:8" x14ac:dyDescent="0.2">
      <c r="A165" s="2">
        <v>43892</v>
      </c>
      <c r="B165" s="1" t="s">
        <v>112</v>
      </c>
      <c r="C165" s="1">
        <v>101</v>
      </c>
      <c r="D165" s="1">
        <f t="shared" ca="1" si="14"/>
        <v>10</v>
      </c>
      <c r="E165" s="1">
        <f>VLOOKUP(C165,商品表!A:C,3,0)</f>
        <v>2.5</v>
      </c>
      <c r="F165" s="1">
        <f>VLOOKUP(C165,商品表!A:D,4,0)</f>
        <v>3</v>
      </c>
      <c r="G165" s="1">
        <f t="shared" ca="1" si="12"/>
        <v>25</v>
      </c>
      <c r="H165" s="1">
        <f t="shared" ca="1" si="13"/>
        <v>-5</v>
      </c>
    </row>
    <row r="166" spans="1:8" x14ac:dyDescent="0.2">
      <c r="A166" s="2">
        <v>43892</v>
      </c>
      <c r="B166" s="1" t="s">
        <v>113</v>
      </c>
      <c r="C166" s="1">
        <v>101</v>
      </c>
      <c r="D166" s="1">
        <f t="shared" ca="1" si="14"/>
        <v>10</v>
      </c>
      <c r="E166" s="1">
        <f>VLOOKUP(C166,商品表!A:C,3,0)</f>
        <v>2.5</v>
      </c>
      <c r="F166" s="1">
        <f>VLOOKUP(C166,商品表!A:D,4,0)</f>
        <v>3</v>
      </c>
      <c r="G166" s="1">
        <f t="shared" ref="G166:G229" ca="1" si="15">D166*E166</f>
        <v>25</v>
      </c>
      <c r="H166" s="1">
        <f t="shared" ref="H166:H229" ca="1" si="16">D166*(E166-F166)</f>
        <v>-5</v>
      </c>
    </row>
    <row r="167" spans="1:8" x14ac:dyDescent="0.2">
      <c r="A167" s="2">
        <v>43892</v>
      </c>
      <c r="B167" s="1" t="s">
        <v>114</v>
      </c>
      <c r="C167" s="1">
        <v>101</v>
      </c>
      <c r="D167" s="1">
        <f t="shared" ca="1" si="14"/>
        <v>9</v>
      </c>
      <c r="E167" s="1">
        <f>VLOOKUP(C167,商品表!A:C,3,0)</f>
        <v>2.5</v>
      </c>
      <c r="F167" s="1">
        <f>VLOOKUP(C167,商品表!A:D,4,0)</f>
        <v>3</v>
      </c>
      <c r="G167" s="1">
        <f t="shared" ca="1" si="15"/>
        <v>22.5</v>
      </c>
      <c r="H167" s="1">
        <f t="shared" ca="1" si="16"/>
        <v>-4.5</v>
      </c>
    </row>
    <row r="168" spans="1:8" x14ac:dyDescent="0.2">
      <c r="A168" s="2">
        <v>43892</v>
      </c>
      <c r="B168" s="1" t="s">
        <v>115</v>
      </c>
      <c r="C168" s="1">
        <v>101</v>
      </c>
      <c r="D168" s="1">
        <f t="shared" ca="1" si="14"/>
        <v>4</v>
      </c>
      <c r="E168" s="1">
        <f>VLOOKUP(C168,商品表!A:C,3,0)</f>
        <v>2.5</v>
      </c>
      <c r="F168" s="1">
        <f>VLOOKUP(C168,商品表!A:D,4,0)</f>
        <v>3</v>
      </c>
      <c r="G168" s="1">
        <f t="shared" ca="1" si="15"/>
        <v>10</v>
      </c>
      <c r="H168" s="1">
        <f t="shared" ca="1" si="16"/>
        <v>-2</v>
      </c>
    </row>
    <row r="169" spans="1:8" x14ac:dyDescent="0.2">
      <c r="A169" s="2">
        <v>43892</v>
      </c>
      <c r="B169" s="1" t="s">
        <v>116</v>
      </c>
      <c r="C169" s="1">
        <v>101</v>
      </c>
      <c r="D169" s="1">
        <f t="shared" ca="1" si="14"/>
        <v>6</v>
      </c>
      <c r="E169" s="1">
        <f>VLOOKUP(C169,商品表!A:C,3,0)</f>
        <v>2.5</v>
      </c>
      <c r="F169" s="1">
        <f>VLOOKUP(C169,商品表!A:D,4,0)</f>
        <v>3</v>
      </c>
      <c r="G169" s="1">
        <f t="shared" ca="1" si="15"/>
        <v>15</v>
      </c>
      <c r="H169" s="1">
        <f t="shared" ca="1" si="16"/>
        <v>-3</v>
      </c>
    </row>
    <row r="170" spans="1:8" x14ac:dyDescent="0.2">
      <c r="A170" s="2">
        <v>43892</v>
      </c>
      <c r="B170" s="1" t="s">
        <v>117</v>
      </c>
      <c r="C170" s="1">
        <v>101</v>
      </c>
      <c r="D170" s="1">
        <f t="shared" ca="1" si="14"/>
        <v>7</v>
      </c>
      <c r="E170" s="1">
        <f>VLOOKUP(C170,商品表!A:C,3,0)</f>
        <v>2.5</v>
      </c>
      <c r="F170" s="1">
        <f>VLOOKUP(C170,商品表!A:D,4,0)</f>
        <v>3</v>
      </c>
      <c r="G170" s="1">
        <f t="shared" ca="1" si="15"/>
        <v>17.5</v>
      </c>
      <c r="H170" s="1">
        <f t="shared" ca="1" si="16"/>
        <v>-3.5</v>
      </c>
    </row>
    <row r="171" spans="1:8" x14ac:dyDescent="0.2">
      <c r="A171" s="2">
        <v>43892</v>
      </c>
      <c r="B171" s="1" t="s">
        <v>118</v>
      </c>
      <c r="C171" s="1">
        <v>101</v>
      </c>
      <c r="D171" s="1">
        <f t="shared" ca="1" si="14"/>
        <v>6</v>
      </c>
      <c r="E171" s="1">
        <f>VLOOKUP(C171,商品表!A:C,3,0)</f>
        <v>2.5</v>
      </c>
      <c r="F171" s="1">
        <f>VLOOKUP(C171,商品表!A:D,4,0)</f>
        <v>3</v>
      </c>
      <c r="G171" s="1">
        <f t="shared" ca="1" si="15"/>
        <v>15</v>
      </c>
      <c r="H171" s="1">
        <f t="shared" ca="1" si="16"/>
        <v>-3</v>
      </c>
    </row>
    <row r="172" spans="1:8" x14ac:dyDescent="0.2">
      <c r="A172" s="2">
        <v>43892</v>
      </c>
      <c r="B172" s="1" t="s">
        <v>119</v>
      </c>
      <c r="C172" s="1">
        <v>101</v>
      </c>
      <c r="D172" s="1">
        <f t="shared" ca="1" si="14"/>
        <v>9</v>
      </c>
      <c r="E172" s="1">
        <f>VLOOKUP(C172,商品表!A:C,3,0)</f>
        <v>2.5</v>
      </c>
      <c r="F172" s="1">
        <f>VLOOKUP(C172,商品表!A:D,4,0)</f>
        <v>3</v>
      </c>
      <c r="G172" s="1">
        <f t="shared" ca="1" si="15"/>
        <v>22.5</v>
      </c>
      <c r="H172" s="1">
        <f t="shared" ca="1" si="16"/>
        <v>-4.5</v>
      </c>
    </row>
    <row r="173" spans="1:8" x14ac:dyDescent="0.2">
      <c r="A173" s="2">
        <v>43892</v>
      </c>
      <c r="B173" s="1" t="s">
        <v>120</v>
      </c>
      <c r="C173" s="1">
        <v>101</v>
      </c>
      <c r="D173" s="1">
        <f t="shared" ca="1" si="14"/>
        <v>3</v>
      </c>
      <c r="E173" s="1">
        <f>VLOOKUP(C173,商品表!A:C,3,0)</f>
        <v>2.5</v>
      </c>
      <c r="F173" s="1">
        <f>VLOOKUP(C173,商品表!A:D,4,0)</f>
        <v>3</v>
      </c>
      <c r="G173" s="1">
        <f t="shared" ca="1" si="15"/>
        <v>7.5</v>
      </c>
      <c r="H173" s="1">
        <f t="shared" ca="1" si="16"/>
        <v>-1.5</v>
      </c>
    </row>
    <row r="174" spans="1:8" x14ac:dyDescent="0.2">
      <c r="A174" s="2">
        <v>43892</v>
      </c>
      <c r="B174" s="1" t="s">
        <v>121</v>
      </c>
      <c r="C174" s="1">
        <v>101</v>
      </c>
      <c r="D174" s="1">
        <f t="shared" ca="1" si="14"/>
        <v>6</v>
      </c>
      <c r="E174" s="1">
        <f>VLOOKUP(C174,商品表!A:C,3,0)</f>
        <v>2.5</v>
      </c>
      <c r="F174" s="1">
        <f>VLOOKUP(C174,商品表!A:D,4,0)</f>
        <v>3</v>
      </c>
      <c r="G174" s="1">
        <f t="shared" ca="1" si="15"/>
        <v>15</v>
      </c>
      <c r="H174" s="1">
        <f t="shared" ca="1" si="16"/>
        <v>-3</v>
      </c>
    </row>
    <row r="175" spans="1:8" x14ac:dyDescent="0.2">
      <c r="A175" s="2">
        <v>43892</v>
      </c>
      <c r="B175" s="1" t="s">
        <v>122</v>
      </c>
      <c r="C175" s="1">
        <v>101</v>
      </c>
      <c r="D175" s="1">
        <f t="shared" ca="1" si="14"/>
        <v>6</v>
      </c>
      <c r="E175" s="1">
        <f>VLOOKUP(C175,商品表!A:C,3,0)</f>
        <v>2.5</v>
      </c>
      <c r="F175" s="1">
        <f>VLOOKUP(C175,商品表!A:D,4,0)</f>
        <v>3</v>
      </c>
      <c r="G175" s="1">
        <f t="shared" ca="1" si="15"/>
        <v>15</v>
      </c>
      <c r="H175" s="1">
        <f t="shared" ca="1" si="16"/>
        <v>-3</v>
      </c>
    </row>
    <row r="176" spans="1:8" x14ac:dyDescent="0.2">
      <c r="A176" s="2">
        <v>43892</v>
      </c>
      <c r="B176" s="1" t="s">
        <v>123</v>
      </c>
      <c r="C176" s="1">
        <v>101</v>
      </c>
      <c r="D176" s="1">
        <f t="shared" ca="1" si="14"/>
        <v>6</v>
      </c>
      <c r="E176" s="1">
        <f>VLOOKUP(C176,商品表!A:C,3,0)</f>
        <v>2.5</v>
      </c>
      <c r="F176" s="1">
        <f>VLOOKUP(C176,商品表!A:D,4,0)</f>
        <v>3</v>
      </c>
      <c r="G176" s="1">
        <f t="shared" ca="1" si="15"/>
        <v>15</v>
      </c>
      <c r="H176" s="1">
        <f t="shared" ca="1" si="16"/>
        <v>-3</v>
      </c>
    </row>
    <row r="177" spans="1:8" x14ac:dyDescent="0.2">
      <c r="A177" s="2">
        <v>43892</v>
      </c>
      <c r="B177" s="1" t="s">
        <v>124</v>
      </c>
      <c r="C177" s="1">
        <v>101</v>
      </c>
      <c r="D177" s="1">
        <f t="shared" ca="1" si="14"/>
        <v>10</v>
      </c>
      <c r="E177" s="1">
        <f>VLOOKUP(C177,商品表!A:C,3,0)</f>
        <v>2.5</v>
      </c>
      <c r="F177" s="1">
        <f>VLOOKUP(C177,商品表!A:D,4,0)</f>
        <v>3</v>
      </c>
      <c r="G177" s="1">
        <f t="shared" ca="1" si="15"/>
        <v>25</v>
      </c>
      <c r="H177" s="1">
        <f t="shared" ca="1" si="16"/>
        <v>-5</v>
      </c>
    </row>
    <row r="178" spans="1:8" x14ac:dyDescent="0.2">
      <c r="A178" s="2">
        <v>43892</v>
      </c>
      <c r="B178" s="1" t="s">
        <v>125</v>
      </c>
      <c r="C178" s="1">
        <v>101</v>
      </c>
      <c r="D178" s="1">
        <f t="shared" ca="1" si="14"/>
        <v>9</v>
      </c>
      <c r="E178" s="1">
        <f>VLOOKUP(C178,商品表!A:C,3,0)</f>
        <v>2.5</v>
      </c>
      <c r="F178" s="1">
        <f>VLOOKUP(C178,商品表!A:D,4,0)</f>
        <v>3</v>
      </c>
      <c r="G178" s="1">
        <f t="shared" ca="1" si="15"/>
        <v>22.5</v>
      </c>
      <c r="H178" s="1">
        <f t="shared" ca="1" si="16"/>
        <v>-4.5</v>
      </c>
    </row>
    <row r="179" spans="1:8" x14ac:dyDescent="0.2">
      <c r="A179" s="2">
        <v>43892</v>
      </c>
      <c r="B179" s="1" t="s">
        <v>126</v>
      </c>
      <c r="C179" s="1">
        <v>101</v>
      </c>
      <c r="D179" s="1">
        <f t="shared" ca="1" si="14"/>
        <v>5</v>
      </c>
      <c r="E179" s="1">
        <f>VLOOKUP(C179,商品表!A:C,3,0)</f>
        <v>2.5</v>
      </c>
      <c r="F179" s="1">
        <f>VLOOKUP(C179,商品表!A:D,4,0)</f>
        <v>3</v>
      </c>
      <c r="G179" s="1">
        <f t="shared" ca="1" si="15"/>
        <v>12.5</v>
      </c>
      <c r="H179" s="1">
        <f t="shared" ca="1" si="16"/>
        <v>-2.5</v>
      </c>
    </row>
    <row r="180" spans="1:8" x14ac:dyDescent="0.2">
      <c r="A180" s="2">
        <v>43892</v>
      </c>
      <c r="B180" s="1" t="s">
        <v>127</v>
      </c>
      <c r="C180" s="1">
        <v>101</v>
      </c>
      <c r="D180" s="1">
        <f t="shared" ca="1" si="14"/>
        <v>3</v>
      </c>
      <c r="E180" s="1">
        <f>VLOOKUP(C180,商品表!A:C,3,0)</f>
        <v>2.5</v>
      </c>
      <c r="F180" s="1">
        <f>VLOOKUP(C180,商品表!A:D,4,0)</f>
        <v>3</v>
      </c>
      <c r="G180" s="1">
        <f t="shared" ca="1" si="15"/>
        <v>7.5</v>
      </c>
      <c r="H180" s="1">
        <f t="shared" ca="1" si="16"/>
        <v>-1.5</v>
      </c>
    </row>
    <row r="181" spans="1:8" x14ac:dyDescent="0.2">
      <c r="A181" s="2">
        <v>43892</v>
      </c>
      <c r="B181" s="1" t="s">
        <v>128</v>
      </c>
      <c r="C181" s="1">
        <v>101</v>
      </c>
      <c r="D181" s="1">
        <f t="shared" ca="1" si="14"/>
        <v>6</v>
      </c>
      <c r="E181" s="1">
        <f>VLOOKUP(C181,商品表!A:C,3,0)</f>
        <v>2.5</v>
      </c>
      <c r="F181" s="1">
        <f>VLOOKUP(C181,商品表!A:D,4,0)</f>
        <v>3</v>
      </c>
      <c r="G181" s="1">
        <f t="shared" ca="1" si="15"/>
        <v>15</v>
      </c>
      <c r="H181" s="1">
        <f t="shared" ca="1" si="16"/>
        <v>-3</v>
      </c>
    </row>
    <row r="182" spans="1:8" x14ac:dyDescent="0.2">
      <c r="A182" s="2">
        <v>43892</v>
      </c>
      <c r="B182" s="1" t="s">
        <v>129</v>
      </c>
      <c r="C182" s="1">
        <v>101</v>
      </c>
      <c r="D182" s="1">
        <f t="shared" ca="1" si="14"/>
        <v>4</v>
      </c>
      <c r="E182" s="1">
        <f>VLOOKUP(C182,商品表!A:C,3,0)</f>
        <v>2.5</v>
      </c>
      <c r="F182" s="1">
        <f>VLOOKUP(C182,商品表!A:D,4,0)</f>
        <v>3</v>
      </c>
      <c r="G182" s="1">
        <f t="shared" ca="1" si="15"/>
        <v>10</v>
      </c>
      <c r="H182" s="1">
        <f t="shared" ca="1" si="16"/>
        <v>-2</v>
      </c>
    </row>
    <row r="183" spans="1:8" x14ac:dyDescent="0.2">
      <c r="A183" s="2">
        <v>43892</v>
      </c>
      <c r="B183" s="1" t="s">
        <v>130</v>
      </c>
      <c r="C183" s="1">
        <v>101</v>
      </c>
      <c r="D183" s="1">
        <f t="shared" ca="1" si="14"/>
        <v>3</v>
      </c>
      <c r="E183" s="1">
        <f>VLOOKUP(C183,商品表!A:C,3,0)</f>
        <v>2.5</v>
      </c>
      <c r="F183" s="1">
        <f>VLOOKUP(C183,商品表!A:D,4,0)</f>
        <v>3</v>
      </c>
      <c r="G183" s="1">
        <f t="shared" ca="1" si="15"/>
        <v>7.5</v>
      </c>
      <c r="H183" s="1">
        <f t="shared" ca="1" si="16"/>
        <v>-1.5</v>
      </c>
    </row>
    <row r="184" spans="1:8" x14ac:dyDescent="0.2">
      <c r="A184" s="2">
        <v>43892</v>
      </c>
      <c r="B184" s="1" t="s">
        <v>131</v>
      </c>
      <c r="C184" s="1">
        <v>101</v>
      </c>
      <c r="D184" s="1">
        <f t="shared" ca="1" si="14"/>
        <v>4</v>
      </c>
      <c r="E184" s="1">
        <f>VLOOKUP(C184,商品表!A:C,3,0)</f>
        <v>2.5</v>
      </c>
      <c r="F184" s="1">
        <f>VLOOKUP(C184,商品表!A:D,4,0)</f>
        <v>3</v>
      </c>
      <c r="G184" s="1">
        <f t="shared" ca="1" si="15"/>
        <v>10</v>
      </c>
      <c r="H184" s="1">
        <f t="shared" ca="1" si="16"/>
        <v>-2</v>
      </c>
    </row>
    <row r="185" spans="1:8" x14ac:dyDescent="0.2">
      <c r="A185" s="2">
        <v>43892</v>
      </c>
      <c r="B185" s="1" t="s">
        <v>132</v>
      </c>
      <c r="C185" s="1">
        <v>101</v>
      </c>
      <c r="D185" s="1">
        <f t="shared" ca="1" si="14"/>
        <v>5</v>
      </c>
      <c r="E185" s="1">
        <f>VLOOKUP(C185,商品表!A:C,3,0)</f>
        <v>2.5</v>
      </c>
      <c r="F185" s="1">
        <f>VLOOKUP(C185,商品表!A:D,4,0)</f>
        <v>3</v>
      </c>
      <c r="G185" s="1">
        <f t="shared" ca="1" si="15"/>
        <v>12.5</v>
      </c>
      <c r="H185" s="1">
        <f t="shared" ca="1" si="16"/>
        <v>-2.5</v>
      </c>
    </row>
    <row r="186" spans="1:8" x14ac:dyDescent="0.2">
      <c r="A186" s="2">
        <v>43892</v>
      </c>
      <c r="B186" s="1" t="s">
        <v>133</v>
      </c>
      <c r="C186" s="1">
        <v>101</v>
      </c>
      <c r="D186" s="1">
        <f t="shared" ca="1" si="14"/>
        <v>9</v>
      </c>
      <c r="E186" s="1">
        <f>VLOOKUP(C186,商品表!A:C,3,0)</f>
        <v>2.5</v>
      </c>
      <c r="F186" s="1">
        <f>VLOOKUP(C186,商品表!A:D,4,0)</f>
        <v>3</v>
      </c>
      <c r="G186" s="1">
        <f t="shared" ca="1" si="15"/>
        <v>22.5</v>
      </c>
      <c r="H186" s="1">
        <f t="shared" ca="1" si="16"/>
        <v>-4.5</v>
      </c>
    </row>
    <row r="187" spans="1:8" x14ac:dyDescent="0.2">
      <c r="A187" s="2">
        <v>43892</v>
      </c>
      <c r="B187" s="1" t="s">
        <v>134</v>
      </c>
      <c r="C187" s="1">
        <v>101</v>
      </c>
      <c r="D187" s="1">
        <f t="shared" ca="1" si="14"/>
        <v>10</v>
      </c>
      <c r="E187" s="1">
        <f>VLOOKUP(C187,商品表!A:C,3,0)</f>
        <v>2.5</v>
      </c>
      <c r="F187" s="1">
        <f>VLOOKUP(C187,商品表!A:D,4,0)</f>
        <v>3</v>
      </c>
      <c r="G187" s="1">
        <f t="shared" ca="1" si="15"/>
        <v>25</v>
      </c>
      <c r="H187" s="1">
        <f t="shared" ca="1" si="16"/>
        <v>-5</v>
      </c>
    </row>
    <row r="188" spans="1:8" x14ac:dyDescent="0.2">
      <c r="A188" s="2">
        <v>43892</v>
      </c>
      <c r="B188" s="1" t="s">
        <v>135</v>
      </c>
      <c r="C188" s="1">
        <v>101</v>
      </c>
      <c r="D188" s="1">
        <f t="shared" ca="1" si="14"/>
        <v>7</v>
      </c>
      <c r="E188" s="1">
        <f>VLOOKUP(C188,商品表!A:C,3,0)</f>
        <v>2.5</v>
      </c>
      <c r="F188" s="1">
        <f>VLOOKUP(C188,商品表!A:D,4,0)</f>
        <v>3</v>
      </c>
      <c r="G188" s="1">
        <f t="shared" ca="1" si="15"/>
        <v>17.5</v>
      </c>
      <c r="H188" s="1">
        <f t="shared" ca="1" si="16"/>
        <v>-3.5</v>
      </c>
    </row>
    <row r="189" spans="1:8" x14ac:dyDescent="0.2">
      <c r="A189" s="2">
        <v>43892</v>
      </c>
      <c r="B189" s="1" t="s">
        <v>136</v>
      </c>
      <c r="C189" s="1">
        <v>101</v>
      </c>
      <c r="D189" s="1">
        <f t="shared" ca="1" si="14"/>
        <v>7</v>
      </c>
      <c r="E189" s="1">
        <f>VLOOKUP(C189,商品表!A:C,3,0)</f>
        <v>2.5</v>
      </c>
      <c r="F189" s="1">
        <f>VLOOKUP(C189,商品表!A:D,4,0)</f>
        <v>3</v>
      </c>
      <c r="G189" s="1">
        <f t="shared" ca="1" si="15"/>
        <v>17.5</v>
      </c>
      <c r="H189" s="1">
        <f t="shared" ca="1" si="16"/>
        <v>-3.5</v>
      </c>
    </row>
    <row r="190" spans="1:8" x14ac:dyDescent="0.2">
      <c r="A190" s="2">
        <v>43892</v>
      </c>
      <c r="B190" s="1" t="s">
        <v>48</v>
      </c>
      <c r="C190" s="1">
        <v>102</v>
      </c>
      <c r="D190" s="1">
        <f t="shared" ca="1" si="14"/>
        <v>8</v>
      </c>
      <c r="E190" s="1">
        <f>VLOOKUP(C190,商品表!A:C,3,0)</f>
        <v>7.9</v>
      </c>
      <c r="F190" s="1">
        <f>VLOOKUP(C190,商品表!A:D,4,0)</f>
        <v>5</v>
      </c>
      <c r="G190" s="1">
        <f t="shared" ca="1" si="15"/>
        <v>63.2</v>
      </c>
      <c r="H190" s="1">
        <f t="shared" ca="1" si="16"/>
        <v>23.200000000000003</v>
      </c>
    </row>
    <row r="191" spans="1:8" x14ac:dyDescent="0.2">
      <c r="A191" s="2">
        <v>43892</v>
      </c>
      <c r="B191" s="1" t="s">
        <v>86</v>
      </c>
      <c r="C191" s="1">
        <v>102</v>
      </c>
      <c r="D191" s="1">
        <f t="shared" ca="1" si="14"/>
        <v>3</v>
      </c>
      <c r="E191" s="1">
        <f>VLOOKUP(C191,商品表!A:C,3,0)</f>
        <v>7.9</v>
      </c>
      <c r="F191" s="1">
        <f>VLOOKUP(C191,商品表!A:D,4,0)</f>
        <v>5</v>
      </c>
      <c r="G191" s="1">
        <f t="shared" ca="1" si="15"/>
        <v>23.700000000000003</v>
      </c>
      <c r="H191" s="1">
        <f t="shared" ca="1" si="16"/>
        <v>8.7000000000000011</v>
      </c>
    </row>
    <row r="192" spans="1:8" x14ac:dyDescent="0.2">
      <c r="A192" s="2">
        <v>43892</v>
      </c>
      <c r="B192" s="1" t="s">
        <v>87</v>
      </c>
      <c r="C192" s="1">
        <v>103</v>
      </c>
      <c r="D192" s="1">
        <f t="shared" ca="1" si="14"/>
        <v>7</v>
      </c>
      <c r="E192" s="1">
        <f>VLOOKUP(C192,商品表!A:C,3,0)</f>
        <v>3.5</v>
      </c>
      <c r="F192" s="1">
        <f>VLOOKUP(C192,商品表!A:D,4,0)</f>
        <v>2.5</v>
      </c>
      <c r="G192" s="1">
        <f t="shared" ca="1" si="15"/>
        <v>24.5</v>
      </c>
      <c r="H192" s="1">
        <f t="shared" ca="1" si="16"/>
        <v>7</v>
      </c>
    </row>
    <row r="193" spans="1:8" x14ac:dyDescent="0.2">
      <c r="A193" s="2">
        <v>43892</v>
      </c>
      <c r="B193" s="1" t="s">
        <v>88</v>
      </c>
      <c r="C193" s="1">
        <v>103</v>
      </c>
      <c r="D193" s="1">
        <f t="shared" ca="1" si="14"/>
        <v>3</v>
      </c>
      <c r="E193" s="1">
        <f>VLOOKUP(C193,商品表!A:C,3,0)</f>
        <v>3.5</v>
      </c>
      <c r="F193" s="1">
        <f>VLOOKUP(C193,商品表!A:D,4,0)</f>
        <v>2.5</v>
      </c>
      <c r="G193" s="1">
        <f t="shared" ca="1" si="15"/>
        <v>10.5</v>
      </c>
      <c r="H193" s="1">
        <f t="shared" ca="1" si="16"/>
        <v>3</v>
      </c>
    </row>
    <row r="194" spans="1:8" x14ac:dyDescent="0.2">
      <c r="A194" s="2">
        <v>43892</v>
      </c>
      <c r="B194" s="1" t="s">
        <v>89</v>
      </c>
      <c r="C194" s="1">
        <v>102</v>
      </c>
      <c r="D194" s="1">
        <f t="shared" ca="1" si="14"/>
        <v>8</v>
      </c>
      <c r="E194" s="1">
        <f>VLOOKUP(C194,商品表!A:C,3,0)</f>
        <v>7.9</v>
      </c>
      <c r="F194" s="1">
        <f>VLOOKUP(C194,商品表!A:D,4,0)</f>
        <v>5</v>
      </c>
      <c r="G194" s="1">
        <f t="shared" ca="1" si="15"/>
        <v>63.2</v>
      </c>
      <c r="H194" s="1">
        <f t="shared" ca="1" si="16"/>
        <v>23.200000000000003</v>
      </c>
    </row>
    <row r="195" spans="1:8" x14ac:dyDescent="0.2">
      <c r="A195" s="2">
        <v>43892</v>
      </c>
      <c r="B195" s="1" t="s">
        <v>90</v>
      </c>
      <c r="C195" s="1">
        <v>102</v>
      </c>
      <c r="D195" s="1">
        <f t="shared" ref="D195:D241" ca="1" si="17">RANDBETWEEN(3,10)</f>
        <v>3</v>
      </c>
      <c r="E195" s="1">
        <f>VLOOKUP(C195,商品表!A:C,3,0)</f>
        <v>7.9</v>
      </c>
      <c r="F195" s="1">
        <f>VLOOKUP(C195,商品表!A:D,4,0)</f>
        <v>5</v>
      </c>
      <c r="G195" s="1">
        <f t="shared" ca="1" si="15"/>
        <v>23.700000000000003</v>
      </c>
      <c r="H195" s="1">
        <f t="shared" ca="1" si="16"/>
        <v>8.7000000000000011</v>
      </c>
    </row>
    <row r="196" spans="1:8" x14ac:dyDescent="0.2">
      <c r="A196" s="2">
        <v>43892</v>
      </c>
      <c r="B196" s="1" t="s">
        <v>91</v>
      </c>
      <c r="C196" s="1">
        <v>102</v>
      </c>
      <c r="D196" s="1">
        <f t="shared" ca="1" si="17"/>
        <v>10</v>
      </c>
      <c r="E196" s="1">
        <f>VLOOKUP(C196,商品表!A:C,3,0)</f>
        <v>7.9</v>
      </c>
      <c r="F196" s="1">
        <f>VLOOKUP(C196,商品表!A:D,4,0)</f>
        <v>5</v>
      </c>
      <c r="G196" s="1">
        <f t="shared" ca="1" si="15"/>
        <v>79</v>
      </c>
      <c r="H196" s="1">
        <f t="shared" ca="1" si="16"/>
        <v>29.000000000000004</v>
      </c>
    </row>
    <row r="197" spans="1:8" x14ac:dyDescent="0.2">
      <c r="A197" s="2">
        <v>43892</v>
      </c>
      <c r="B197" s="1" t="s">
        <v>92</v>
      </c>
      <c r="C197" s="1">
        <v>102</v>
      </c>
      <c r="D197" s="1">
        <f t="shared" ca="1" si="17"/>
        <v>10</v>
      </c>
      <c r="E197" s="1">
        <f>VLOOKUP(C197,商品表!A:C,3,0)</f>
        <v>7.9</v>
      </c>
      <c r="F197" s="1">
        <f>VLOOKUP(C197,商品表!A:D,4,0)</f>
        <v>5</v>
      </c>
      <c r="G197" s="1">
        <f t="shared" ca="1" si="15"/>
        <v>79</v>
      </c>
      <c r="H197" s="1">
        <f t="shared" ca="1" si="16"/>
        <v>29.000000000000004</v>
      </c>
    </row>
    <row r="198" spans="1:8" x14ac:dyDescent="0.2">
      <c r="A198" s="2">
        <v>43892</v>
      </c>
      <c r="B198" s="1" t="s">
        <v>93</v>
      </c>
      <c r="C198" s="1">
        <v>103</v>
      </c>
      <c r="D198" s="1">
        <f t="shared" ca="1" si="17"/>
        <v>3</v>
      </c>
      <c r="E198" s="1">
        <f>VLOOKUP(C198,商品表!A:C,3,0)</f>
        <v>3.5</v>
      </c>
      <c r="F198" s="1">
        <f>VLOOKUP(C198,商品表!A:D,4,0)</f>
        <v>2.5</v>
      </c>
      <c r="G198" s="1">
        <f t="shared" ca="1" si="15"/>
        <v>10.5</v>
      </c>
      <c r="H198" s="1">
        <f t="shared" ca="1" si="16"/>
        <v>3</v>
      </c>
    </row>
    <row r="199" spans="1:8" x14ac:dyDescent="0.2">
      <c r="A199" s="2">
        <v>43892</v>
      </c>
      <c r="B199" s="1" t="s">
        <v>94</v>
      </c>
      <c r="C199" s="1">
        <v>103</v>
      </c>
      <c r="D199" s="1">
        <f t="shared" ca="1" si="17"/>
        <v>6</v>
      </c>
      <c r="E199" s="1">
        <f>VLOOKUP(C199,商品表!A:C,3,0)</f>
        <v>3.5</v>
      </c>
      <c r="F199" s="1">
        <f>VLOOKUP(C199,商品表!A:D,4,0)</f>
        <v>2.5</v>
      </c>
      <c r="G199" s="1">
        <f t="shared" ca="1" si="15"/>
        <v>21</v>
      </c>
      <c r="H199" s="1">
        <f t="shared" ca="1" si="16"/>
        <v>6</v>
      </c>
    </row>
    <row r="200" spans="1:8" x14ac:dyDescent="0.2">
      <c r="A200" s="2">
        <v>43892</v>
      </c>
      <c r="B200" s="1" t="s">
        <v>95</v>
      </c>
      <c r="C200" s="1">
        <v>104</v>
      </c>
      <c r="D200" s="1">
        <f t="shared" ca="1" si="17"/>
        <v>5</v>
      </c>
      <c r="E200" s="1">
        <f>VLOOKUP(C200,商品表!A:C,3,0)</f>
        <v>19.899999999999999</v>
      </c>
      <c r="F200" s="1">
        <f>VLOOKUP(C200,商品表!A:D,4,0)</f>
        <v>17.899999999999999</v>
      </c>
      <c r="G200" s="1">
        <f t="shared" ca="1" si="15"/>
        <v>99.5</v>
      </c>
      <c r="H200" s="1">
        <f t="shared" ca="1" si="16"/>
        <v>10</v>
      </c>
    </row>
    <row r="201" spans="1:8" x14ac:dyDescent="0.2">
      <c r="A201" s="2">
        <v>43892</v>
      </c>
      <c r="B201" s="1" t="s">
        <v>96</v>
      </c>
      <c r="C201" s="1">
        <v>105</v>
      </c>
      <c r="D201" s="1">
        <f t="shared" ca="1" si="17"/>
        <v>5</v>
      </c>
      <c r="E201" s="1">
        <f>VLOOKUP(C201,商品表!A:C,3,0)</f>
        <v>8.8000000000000007</v>
      </c>
      <c r="F201" s="1">
        <f>VLOOKUP(C201,商品表!A:D,4,0)</f>
        <v>6.8</v>
      </c>
      <c r="G201" s="1">
        <f t="shared" ca="1" si="15"/>
        <v>44</v>
      </c>
      <c r="H201" s="1">
        <f t="shared" ca="1" si="16"/>
        <v>10.000000000000004</v>
      </c>
    </row>
    <row r="202" spans="1:8" x14ac:dyDescent="0.2">
      <c r="A202" s="2">
        <v>43892</v>
      </c>
      <c r="B202" s="1" t="s">
        <v>97</v>
      </c>
      <c r="C202" s="1">
        <v>106</v>
      </c>
      <c r="D202" s="1">
        <f t="shared" ca="1" si="17"/>
        <v>8</v>
      </c>
      <c r="E202" s="1">
        <f>VLOOKUP(C202,商品表!A:C,3,0)</f>
        <v>5.9</v>
      </c>
      <c r="F202" s="1">
        <f>VLOOKUP(C202,商品表!A:D,4,0)</f>
        <v>3.9</v>
      </c>
      <c r="G202" s="1">
        <f t="shared" ca="1" si="15"/>
        <v>47.2</v>
      </c>
      <c r="H202" s="1">
        <f t="shared" ca="1" si="16"/>
        <v>16.000000000000004</v>
      </c>
    </row>
    <row r="203" spans="1:8" x14ac:dyDescent="0.2">
      <c r="A203" s="2">
        <v>43892</v>
      </c>
      <c r="B203" s="1" t="s">
        <v>98</v>
      </c>
      <c r="C203" s="1">
        <v>106</v>
      </c>
      <c r="D203" s="1">
        <f t="shared" ca="1" si="17"/>
        <v>7</v>
      </c>
      <c r="E203" s="1">
        <f>VLOOKUP(C203,商品表!A:C,3,0)</f>
        <v>5.9</v>
      </c>
      <c r="F203" s="1">
        <f>VLOOKUP(C203,商品表!A:D,4,0)</f>
        <v>3.9</v>
      </c>
      <c r="G203" s="1">
        <f t="shared" ca="1" si="15"/>
        <v>41.300000000000004</v>
      </c>
      <c r="H203" s="1">
        <f t="shared" ca="1" si="16"/>
        <v>14.000000000000004</v>
      </c>
    </row>
    <row r="204" spans="1:8" x14ac:dyDescent="0.2">
      <c r="A204" s="2">
        <v>43892</v>
      </c>
      <c r="B204" s="1" t="s">
        <v>99</v>
      </c>
      <c r="C204" s="1">
        <v>104</v>
      </c>
      <c r="D204" s="1">
        <f t="shared" ca="1" si="17"/>
        <v>5</v>
      </c>
      <c r="E204" s="1">
        <f>VLOOKUP(C204,商品表!A:C,3,0)</f>
        <v>19.899999999999999</v>
      </c>
      <c r="F204" s="1">
        <f>VLOOKUP(C204,商品表!A:D,4,0)</f>
        <v>17.899999999999999</v>
      </c>
      <c r="G204" s="1">
        <f t="shared" ca="1" si="15"/>
        <v>99.5</v>
      </c>
      <c r="H204" s="1">
        <f t="shared" ca="1" si="16"/>
        <v>10</v>
      </c>
    </row>
    <row r="205" spans="1:8" x14ac:dyDescent="0.2">
      <c r="A205" s="2">
        <v>43892</v>
      </c>
      <c r="B205" s="1" t="s">
        <v>100</v>
      </c>
      <c r="C205" s="1">
        <v>102</v>
      </c>
      <c r="D205" s="1">
        <f t="shared" ca="1" si="17"/>
        <v>10</v>
      </c>
      <c r="E205" s="1">
        <f>VLOOKUP(C205,商品表!A:C,3,0)</f>
        <v>7.9</v>
      </c>
      <c r="F205" s="1">
        <f>VLOOKUP(C205,商品表!A:D,4,0)</f>
        <v>5</v>
      </c>
      <c r="G205" s="1">
        <f t="shared" ca="1" si="15"/>
        <v>79</v>
      </c>
      <c r="H205" s="1">
        <f t="shared" ca="1" si="16"/>
        <v>29.000000000000004</v>
      </c>
    </row>
    <row r="206" spans="1:8" x14ac:dyDescent="0.2">
      <c r="A206" s="2">
        <v>43892</v>
      </c>
      <c r="B206" s="1" t="s">
        <v>101</v>
      </c>
      <c r="C206" s="1">
        <v>102</v>
      </c>
      <c r="D206" s="1">
        <f t="shared" ca="1" si="17"/>
        <v>3</v>
      </c>
      <c r="E206" s="1">
        <f>VLOOKUP(C206,商品表!A:C,3,0)</f>
        <v>7.9</v>
      </c>
      <c r="F206" s="1">
        <f>VLOOKUP(C206,商品表!A:D,4,0)</f>
        <v>5</v>
      </c>
      <c r="G206" s="1">
        <f t="shared" ca="1" si="15"/>
        <v>23.700000000000003</v>
      </c>
      <c r="H206" s="1">
        <f t="shared" ca="1" si="16"/>
        <v>8.7000000000000011</v>
      </c>
    </row>
    <row r="207" spans="1:8" x14ac:dyDescent="0.2">
      <c r="A207" s="2">
        <v>43892</v>
      </c>
      <c r="B207" s="1" t="s">
        <v>102</v>
      </c>
      <c r="C207" s="1">
        <v>102</v>
      </c>
      <c r="D207" s="1">
        <f t="shared" ca="1" si="17"/>
        <v>5</v>
      </c>
      <c r="E207" s="1">
        <f>VLOOKUP(C207,商品表!A:C,3,0)</f>
        <v>7.9</v>
      </c>
      <c r="F207" s="1">
        <f>VLOOKUP(C207,商品表!A:D,4,0)</f>
        <v>5</v>
      </c>
      <c r="G207" s="1">
        <f t="shared" ca="1" si="15"/>
        <v>39.5</v>
      </c>
      <c r="H207" s="1">
        <f t="shared" ca="1" si="16"/>
        <v>14.500000000000002</v>
      </c>
    </row>
    <row r="208" spans="1:8" x14ac:dyDescent="0.2">
      <c r="A208" s="2">
        <v>43892</v>
      </c>
      <c r="B208" s="1" t="s">
        <v>103</v>
      </c>
      <c r="C208" s="1">
        <v>102</v>
      </c>
      <c r="D208" s="1">
        <f t="shared" ca="1" si="17"/>
        <v>6</v>
      </c>
      <c r="E208" s="1">
        <f>VLOOKUP(C208,商品表!A:C,3,0)</f>
        <v>7.9</v>
      </c>
      <c r="F208" s="1">
        <f>VLOOKUP(C208,商品表!A:D,4,0)</f>
        <v>5</v>
      </c>
      <c r="G208" s="1">
        <f t="shared" ca="1" si="15"/>
        <v>47.400000000000006</v>
      </c>
      <c r="H208" s="1">
        <f t="shared" ca="1" si="16"/>
        <v>17.400000000000002</v>
      </c>
    </row>
    <row r="209" spans="1:8" x14ac:dyDescent="0.2">
      <c r="A209" s="2">
        <v>43892</v>
      </c>
      <c r="B209" s="1" t="s">
        <v>104</v>
      </c>
      <c r="C209" s="1">
        <v>102</v>
      </c>
      <c r="D209" s="1">
        <f t="shared" ca="1" si="17"/>
        <v>7</v>
      </c>
      <c r="E209" s="1">
        <f>VLOOKUP(C209,商品表!A:C,3,0)</f>
        <v>7.9</v>
      </c>
      <c r="F209" s="1">
        <f>VLOOKUP(C209,商品表!A:D,4,0)</f>
        <v>5</v>
      </c>
      <c r="G209" s="1">
        <f t="shared" ca="1" si="15"/>
        <v>55.300000000000004</v>
      </c>
      <c r="H209" s="1">
        <f t="shared" ca="1" si="16"/>
        <v>20.300000000000004</v>
      </c>
    </row>
    <row r="210" spans="1:8" x14ac:dyDescent="0.2">
      <c r="A210" s="2">
        <v>43892</v>
      </c>
      <c r="B210" s="1" t="s">
        <v>105</v>
      </c>
      <c r="C210" s="1">
        <v>102</v>
      </c>
      <c r="D210" s="1">
        <f t="shared" ca="1" si="17"/>
        <v>4</v>
      </c>
      <c r="E210" s="1">
        <f>VLOOKUP(C210,商品表!A:C,3,0)</f>
        <v>7.9</v>
      </c>
      <c r="F210" s="1">
        <f>VLOOKUP(C210,商品表!A:D,4,0)</f>
        <v>5</v>
      </c>
      <c r="G210" s="1">
        <f t="shared" ca="1" si="15"/>
        <v>31.6</v>
      </c>
      <c r="H210" s="1">
        <f t="shared" ca="1" si="16"/>
        <v>11.600000000000001</v>
      </c>
    </row>
    <row r="211" spans="1:8" x14ac:dyDescent="0.2">
      <c r="A211" s="2">
        <v>43892</v>
      </c>
      <c r="B211" s="1" t="s">
        <v>106</v>
      </c>
      <c r="C211" s="1">
        <v>102</v>
      </c>
      <c r="D211" s="1">
        <f t="shared" ca="1" si="17"/>
        <v>9</v>
      </c>
      <c r="E211" s="1">
        <f>VLOOKUP(C211,商品表!A:C,3,0)</f>
        <v>7.9</v>
      </c>
      <c r="F211" s="1">
        <f>VLOOKUP(C211,商品表!A:D,4,0)</f>
        <v>5</v>
      </c>
      <c r="G211" s="1">
        <f t="shared" ca="1" si="15"/>
        <v>71.100000000000009</v>
      </c>
      <c r="H211" s="1">
        <f t="shared" ca="1" si="16"/>
        <v>26.1</v>
      </c>
    </row>
    <row r="212" spans="1:8" x14ac:dyDescent="0.2">
      <c r="A212" s="2">
        <v>43892</v>
      </c>
      <c r="B212" s="1" t="s">
        <v>107</v>
      </c>
      <c r="C212" s="1">
        <v>102</v>
      </c>
      <c r="D212" s="1">
        <f t="shared" ca="1" si="17"/>
        <v>5</v>
      </c>
      <c r="E212" s="1">
        <f>VLOOKUP(C212,商品表!A:C,3,0)</f>
        <v>7.9</v>
      </c>
      <c r="F212" s="1">
        <f>VLOOKUP(C212,商品表!A:D,4,0)</f>
        <v>5</v>
      </c>
      <c r="G212" s="1">
        <f t="shared" ca="1" si="15"/>
        <v>39.5</v>
      </c>
      <c r="H212" s="1">
        <f t="shared" ca="1" si="16"/>
        <v>14.500000000000002</v>
      </c>
    </row>
    <row r="213" spans="1:8" x14ac:dyDescent="0.2">
      <c r="A213" s="2">
        <v>43892</v>
      </c>
      <c r="B213" s="1" t="s">
        <v>108</v>
      </c>
      <c r="C213" s="1">
        <v>103</v>
      </c>
      <c r="D213" s="1">
        <f t="shared" ca="1" si="17"/>
        <v>10</v>
      </c>
      <c r="E213" s="1">
        <f>VLOOKUP(C213,商品表!A:C,3,0)</f>
        <v>3.5</v>
      </c>
      <c r="F213" s="1">
        <f>VLOOKUP(C213,商品表!A:D,4,0)</f>
        <v>2.5</v>
      </c>
      <c r="G213" s="1">
        <f t="shared" ca="1" si="15"/>
        <v>35</v>
      </c>
      <c r="H213" s="1">
        <f t="shared" ca="1" si="16"/>
        <v>10</v>
      </c>
    </row>
    <row r="214" spans="1:8" x14ac:dyDescent="0.2">
      <c r="A214" s="2">
        <v>43892</v>
      </c>
      <c r="B214" s="1" t="s">
        <v>109</v>
      </c>
      <c r="C214" s="1">
        <v>103</v>
      </c>
      <c r="D214" s="1">
        <f t="shared" ca="1" si="17"/>
        <v>3</v>
      </c>
      <c r="E214" s="1">
        <f>VLOOKUP(C214,商品表!A:C,3,0)</f>
        <v>3.5</v>
      </c>
      <c r="F214" s="1">
        <f>VLOOKUP(C214,商品表!A:D,4,0)</f>
        <v>2.5</v>
      </c>
      <c r="G214" s="1">
        <f t="shared" ca="1" si="15"/>
        <v>10.5</v>
      </c>
      <c r="H214" s="1">
        <f t="shared" ca="1" si="16"/>
        <v>3</v>
      </c>
    </row>
    <row r="215" spans="1:8" x14ac:dyDescent="0.2">
      <c r="A215" s="2">
        <v>43892</v>
      </c>
      <c r="B215" s="1" t="s">
        <v>110</v>
      </c>
      <c r="C215" s="1">
        <v>103</v>
      </c>
      <c r="D215" s="1">
        <f t="shared" ca="1" si="17"/>
        <v>8</v>
      </c>
      <c r="E215" s="1">
        <f>VLOOKUP(C215,商品表!A:C,3,0)</f>
        <v>3.5</v>
      </c>
      <c r="F215" s="1">
        <f>VLOOKUP(C215,商品表!A:D,4,0)</f>
        <v>2.5</v>
      </c>
      <c r="G215" s="1">
        <f t="shared" ca="1" si="15"/>
        <v>28</v>
      </c>
      <c r="H215" s="1">
        <f t="shared" ca="1" si="16"/>
        <v>8</v>
      </c>
    </row>
    <row r="216" spans="1:8" x14ac:dyDescent="0.2">
      <c r="A216" s="2">
        <v>43892</v>
      </c>
      <c r="B216" s="1" t="s">
        <v>111</v>
      </c>
      <c r="C216" s="1">
        <v>103</v>
      </c>
      <c r="D216" s="1">
        <f t="shared" ca="1" si="17"/>
        <v>4</v>
      </c>
      <c r="E216" s="1">
        <f>VLOOKUP(C216,商品表!A:C,3,0)</f>
        <v>3.5</v>
      </c>
      <c r="F216" s="1">
        <f>VLOOKUP(C216,商品表!A:D,4,0)</f>
        <v>2.5</v>
      </c>
      <c r="G216" s="1">
        <f t="shared" ca="1" si="15"/>
        <v>14</v>
      </c>
      <c r="H216" s="1">
        <f t="shared" ca="1" si="16"/>
        <v>4</v>
      </c>
    </row>
    <row r="217" spans="1:8" x14ac:dyDescent="0.2">
      <c r="A217" s="2">
        <v>43892</v>
      </c>
      <c r="B217" s="1" t="s">
        <v>112</v>
      </c>
      <c r="C217" s="1">
        <v>103</v>
      </c>
      <c r="D217" s="1">
        <f t="shared" ca="1" si="17"/>
        <v>6</v>
      </c>
      <c r="E217" s="1">
        <f>VLOOKUP(C217,商品表!A:C,3,0)</f>
        <v>3.5</v>
      </c>
      <c r="F217" s="1">
        <f>VLOOKUP(C217,商品表!A:D,4,0)</f>
        <v>2.5</v>
      </c>
      <c r="G217" s="1">
        <f t="shared" ca="1" si="15"/>
        <v>21</v>
      </c>
      <c r="H217" s="1">
        <f t="shared" ca="1" si="16"/>
        <v>6</v>
      </c>
    </row>
    <row r="218" spans="1:8" x14ac:dyDescent="0.2">
      <c r="A218" s="2">
        <v>43892</v>
      </c>
      <c r="B218" s="1" t="s">
        <v>113</v>
      </c>
      <c r="C218" s="1">
        <v>103</v>
      </c>
      <c r="D218" s="1">
        <f t="shared" ca="1" si="17"/>
        <v>6</v>
      </c>
      <c r="E218" s="1">
        <f>VLOOKUP(C218,商品表!A:C,3,0)</f>
        <v>3.5</v>
      </c>
      <c r="F218" s="1">
        <f>VLOOKUP(C218,商品表!A:D,4,0)</f>
        <v>2.5</v>
      </c>
      <c r="G218" s="1">
        <f t="shared" ca="1" si="15"/>
        <v>21</v>
      </c>
      <c r="H218" s="1">
        <f t="shared" ca="1" si="16"/>
        <v>6</v>
      </c>
    </row>
    <row r="219" spans="1:8" x14ac:dyDescent="0.2">
      <c r="A219" s="2">
        <v>43892</v>
      </c>
      <c r="B219" s="1" t="s">
        <v>114</v>
      </c>
      <c r="C219" s="1">
        <v>102</v>
      </c>
      <c r="D219" s="1">
        <f t="shared" ca="1" si="17"/>
        <v>5</v>
      </c>
      <c r="E219" s="1">
        <f>VLOOKUP(C219,商品表!A:C,3,0)</f>
        <v>7.9</v>
      </c>
      <c r="F219" s="1">
        <f>VLOOKUP(C219,商品表!A:D,4,0)</f>
        <v>5</v>
      </c>
      <c r="G219" s="1">
        <f t="shared" ca="1" si="15"/>
        <v>39.5</v>
      </c>
      <c r="H219" s="1">
        <f t="shared" ca="1" si="16"/>
        <v>14.500000000000002</v>
      </c>
    </row>
    <row r="220" spans="1:8" x14ac:dyDescent="0.2">
      <c r="A220" s="2">
        <v>43892</v>
      </c>
      <c r="B220" s="1" t="s">
        <v>115</v>
      </c>
      <c r="C220" s="1">
        <v>102</v>
      </c>
      <c r="D220" s="1">
        <f t="shared" ca="1" si="17"/>
        <v>6</v>
      </c>
      <c r="E220" s="1">
        <f>VLOOKUP(C220,商品表!A:C,3,0)</f>
        <v>7.9</v>
      </c>
      <c r="F220" s="1">
        <f>VLOOKUP(C220,商品表!A:D,4,0)</f>
        <v>5</v>
      </c>
      <c r="G220" s="1">
        <f t="shared" ca="1" si="15"/>
        <v>47.400000000000006</v>
      </c>
      <c r="H220" s="1">
        <f t="shared" ca="1" si="16"/>
        <v>17.400000000000002</v>
      </c>
    </row>
    <row r="221" spans="1:8" x14ac:dyDescent="0.2">
      <c r="A221" s="2">
        <v>43892</v>
      </c>
      <c r="B221" s="1" t="s">
        <v>116</v>
      </c>
      <c r="C221" s="1">
        <v>102</v>
      </c>
      <c r="D221" s="1">
        <f t="shared" ca="1" si="17"/>
        <v>3</v>
      </c>
      <c r="E221" s="1">
        <f>VLOOKUP(C221,商品表!A:C,3,0)</f>
        <v>7.9</v>
      </c>
      <c r="F221" s="1">
        <f>VLOOKUP(C221,商品表!A:D,4,0)</f>
        <v>5</v>
      </c>
      <c r="G221" s="1">
        <f t="shared" ca="1" si="15"/>
        <v>23.700000000000003</v>
      </c>
      <c r="H221" s="1">
        <f t="shared" ca="1" si="16"/>
        <v>8.7000000000000011</v>
      </c>
    </row>
    <row r="222" spans="1:8" x14ac:dyDescent="0.2">
      <c r="A222" s="2">
        <v>43892</v>
      </c>
      <c r="B222" s="1" t="s">
        <v>117</v>
      </c>
      <c r="C222" s="1">
        <v>102</v>
      </c>
      <c r="D222" s="1">
        <f t="shared" ca="1" si="17"/>
        <v>5</v>
      </c>
      <c r="E222" s="1">
        <f>VLOOKUP(C222,商品表!A:C,3,0)</f>
        <v>7.9</v>
      </c>
      <c r="F222" s="1">
        <f>VLOOKUP(C222,商品表!A:D,4,0)</f>
        <v>5</v>
      </c>
      <c r="G222" s="1">
        <f t="shared" ca="1" si="15"/>
        <v>39.5</v>
      </c>
      <c r="H222" s="1">
        <f t="shared" ca="1" si="16"/>
        <v>14.500000000000002</v>
      </c>
    </row>
    <row r="223" spans="1:8" x14ac:dyDescent="0.2">
      <c r="A223" s="2">
        <v>43892</v>
      </c>
      <c r="B223" s="1" t="s">
        <v>118</v>
      </c>
      <c r="C223" s="1">
        <v>103</v>
      </c>
      <c r="D223" s="1">
        <f t="shared" ca="1" si="17"/>
        <v>10</v>
      </c>
      <c r="E223" s="1">
        <f>VLOOKUP(C223,商品表!A:C,3,0)</f>
        <v>3.5</v>
      </c>
      <c r="F223" s="1">
        <f>VLOOKUP(C223,商品表!A:D,4,0)</f>
        <v>2.5</v>
      </c>
      <c r="G223" s="1">
        <f t="shared" ca="1" si="15"/>
        <v>35</v>
      </c>
      <c r="H223" s="1">
        <f t="shared" ca="1" si="16"/>
        <v>10</v>
      </c>
    </row>
    <row r="224" spans="1:8" x14ac:dyDescent="0.2">
      <c r="A224" s="2">
        <v>43892</v>
      </c>
      <c r="B224" s="1" t="s">
        <v>119</v>
      </c>
      <c r="C224" s="1">
        <v>104</v>
      </c>
      <c r="D224" s="1">
        <f t="shared" ca="1" si="17"/>
        <v>3</v>
      </c>
      <c r="E224" s="1">
        <f>VLOOKUP(C224,商品表!A:C,3,0)</f>
        <v>19.899999999999999</v>
      </c>
      <c r="F224" s="1">
        <f>VLOOKUP(C224,商品表!A:D,4,0)</f>
        <v>17.899999999999999</v>
      </c>
      <c r="G224" s="1">
        <f t="shared" ca="1" si="15"/>
        <v>59.699999999999996</v>
      </c>
      <c r="H224" s="1">
        <f t="shared" ca="1" si="16"/>
        <v>6</v>
      </c>
    </row>
    <row r="225" spans="1:8" x14ac:dyDescent="0.2">
      <c r="A225" s="2">
        <v>43892</v>
      </c>
      <c r="B225" s="1" t="s">
        <v>120</v>
      </c>
      <c r="C225" s="1">
        <v>103</v>
      </c>
      <c r="D225" s="1">
        <f t="shared" ca="1" si="17"/>
        <v>6</v>
      </c>
      <c r="E225" s="1">
        <f>VLOOKUP(C225,商品表!A:C,3,0)</f>
        <v>3.5</v>
      </c>
      <c r="F225" s="1">
        <f>VLOOKUP(C225,商品表!A:D,4,0)</f>
        <v>2.5</v>
      </c>
      <c r="G225" s="1">
        <f t="shared" ca="1" si="15"/>
        <v>21</v>
      </c>
      <c r="H225" s="1">
        <f t="shared" ca="1" si="16"/>
        <v>6</v>
      </c>
    </row>
    <row r="226" spans="1:8" x14ac:dyDescent="0.2">
      <c r="A226" s="2">
        <v>43892</v>
      </c>
      <c r="B226" s="1" t="s">
        <v>121</v>
      </c>
      <c r="C226" s="1">
        <v>103</v>
      </c>
      <c r="D226" s="1">
        <f t="shared" ca="1" si="17"/>
        <v>10</v>
      </c>
      <c r="E226" s="1">
        <f>VLOOKUP(C226,商品表!A:C,3,0)</f>
        <v>3.5</v>
      </c>
      <c r="F226" s="1">
        <f>VLOOKUP(C226,商品表!A:D,4,0)</f>
        <v>2.5</v>
      </c>
      <c r="G226" s="1">
        <f t="shared" ca="1" si="15"/>
        <v>35</v>
      </c>
      <c r="H226" s="1">
        <f t="shared" ca="1" si="16"/>
        <v>10</v>
      </c>
    </row>
    <row r="227" spans="1:8" x14ac:dyDescent="0.2">
      <c r="A227" s="2">
        <v>43892</v>
      </c>
      <c r="B227" s="1" t="s">
        <v>122</v>
      </c>
      <c r="C227" s="1">
        <v>105</v>
      </c>
      <c r="D227" s="1">
        <f t="shared" ca="1" si="17"/>
        <v>7</v>
      </c>
      <c r="E227" s="1">
        <f>VLOOKUP(C227,商品表!A:C,3,0)</f>
        <v>8.8000000000000007</v>
      </c>
      <c r="F227" s="1">
        <f>VLOOKUP(C227,商品表!A:D,4,0)</f>
        <v>6.8</v>
      </c>
      <c r="G227" s="1">
        <f t="shared" ca="1" si="15"/>
        <v>61.600000000000009</v>
      </c>
      <c r="H227" s="1">
        <f t="shared" ca="1" si="16"/>
        <v>14.000000000000007</v>
      </c>
    </row>
    <row r="228" spans="1:8" x14ac:dyDescent="0.2">
      <c r="A228" s="2">
        <v>43892</v>
      </c>
      <c r="B228" s="1" t="s">
        <v>123</v>
      </c>
      <c r="C228" s="1">
        <v>102</v>
      </c>
      <c r="D228" s="1">
        <f t="shared" ca="1" si="17"/>
        <v>7</v>
      </c>
      <c r="E228" s="1">
        <f>VLOOKUP(C228,商品表!A:C,3,0)</f>
        <v>7.9</v>
      </c>
      <c r="F228" s="1">
        <f>VLOOKUP(C228,商品表!A:D,4,0)</f>
        <v>5</v>
      </c>
      <c r="G228" s="1">
        <f t="shared" ca="1" si="15"/>
        <v>55.300000000000004</v>
      </c>
      <c r="H228" s="1">
        <f t="shared" ca="1" si="16"/>
        <v>20.300000000000004</v>
      </c>
    </row>
    <row r="229" spans="1:8" x14ac:dyDescent="0.2">
      <c r="A229" s="2">
        <v>43892</v>
      </c>
      <c r="B229" s="1" t="s">
        <v>124</v>
      </c>
      <c r="C229" s="1">
        <v>102</v>
      </c>
      <c r="D229" s="1">
        <f t="shared" ca="1" si="17"/>
        <v>9</v>
      </c>
      <c r="E229" s="1">
        <f>VLOOKUP(C229,商品表!A:C,3,0)</f>
        <v>7.9</v>
      </c>
      <c r="F229" s="1">
        <f>VLOOKUP(C229,商品表!A:D,4,0)</f>
        <v>5</v>
      </c>
      <c r="G229" s="1">
        <f t="shared" ca="1" si="15"/>
        <v>71.100000000000009</v>
      </c>
      <c r="H229" s="1">
        <f t="shared" ca="1" si="16"/>
        <v>26.1</v>
      </c>
    </row>
    <row r="230" spans="1:8" x14ac:dyDescent="0.2">
      <c r="A230" s="2">
        <v>43892</v>
      </c>
      <c r="B230" s="1" t="s">
        <v>125</v>
      </c>
      <c r="C230" s="1">
        <v>102</v>
      </c>
      <c r="D230" s="1">
        <f t="shared" ca="1" si="17"/>
        <v>6</v>
      </c>
      <c r="E230" s="1">
        <f>VLOOKUP(C230,商品表!A:C,3,0)</f>
        <v>7.9</v>
      </c>
      <c r="F230" s="1">
        <f>VLOOKUP(C230,商品表!A:D,4,0)</f>
        <v>5</v>
      </c>
      <c r="G230" s="1">
        <f t="shared" ref="G230:G241" ca="1" si="18">D230*E230</f>
        <v>47.400000000000006</v>
      </c>
      <c r="H230" s="1">
        <f t="shared" ref="H230:H241" ca="1" si="19">D230*(E230-F230)</f>
        <v>17.400000000000002</v>
      </c>
    </row>
    <row r="231" spans="1:8" x14ac:dyDescent="0.2">
      <c r="A231" s="2">
        <v>43892</v>
      </c>
      <c r="B231" s="1" t="s">
        <v>126</v>
      </c>
      <c r="C231" s="1">
        <v>106</v>
      </c>
      <c r="D231" s="1">
        <f t="shared" ca="1" si="17"/>
        <v>9</v>
      </c>
      <c r="E231" s="1">
        <f>VLOOKUP(C231,商品表!A:C,3,0)</f>
        <v>5.9</v>
      </c>
      <c r="F231" s="1">
        <f>VLOOKUP(C231,商品表!A:D,4,0)</f>
        <v>3.9</v>
      </c>
      <c r="G231" s="1">
        <f t="shared" ca="1" si="18"/>
        <v>53.1</v>
      </c>
      <c r="H231" s="1">
        <f t="shared" ca="1" si="19"/>
        <v>18.000000000000004</v>
      </c>
    </row>
    <row r="232" spans="1:8" x14ac:dyDescent="0.2">
      <c r="A232" s="2">
        <v>43892</v>
      </c>
      <c r="B232" s="1" t="s">
        <v>127</v>
      </c>
      <c r="C232" s="1">
        <v>104</v>
      </c>
      <c r="D232" s="1">
        <f t="shared" ca="1" si="17"/>
        <v>7</v>
      </c>
      <c r="E232" s="1">
        <f>VLOOKUP(C232,商品表!A:C,3,0)</f>
        <v>19.899999999999999</v>
      </c>
      <c r="F232" s="1">
        <f>VLOOKUP(C232,商品表!A:D,4,0)</f>
        <v>17.899999999999999</v>
      </c>
      <c r="G232" s="1">
        <f t="shared" ca="1" si="18"/>
        <v>139.29999999999998</v>
      </c>
      <c r="H232" s="1">
        <f t="shared" ca="1" si="19"/>
        <v>14</v>
      </c>
    </row>
    <row r="233" spans="1:8" x14ac:dyDescent="0.2">
      <c r="A233" s="2">
        <v>43892</v>
      </c>
      <c r="B233" s="1" t="s">
        <v>128</v>
      </c>
      <c r="C233" s="1">
        <v>103</v>
      </c>
      <c r="D233" s="1">
        <f t="shared" ca="1" si="17"/>
        <v>7</v>
      </c>
      <c r="E233" s="1">
        <f>VLOOKUP(C233,商品表!A:C,3,0)</f>
        <v>3.5</v>
      </c>
      <c r="F233" s="1">
        <f>VLOOKUP(C233,商品表!A:D,4,0)</f>
        <v>2.5</v>
      </c>
      <c r="G233" s="1">
        <f t="shared" ca="1" si="18"/>
        <v>24.5</v>
      </c>
      <c r="H233" s="1">
        <f t="shared" ca="1" si="19"/>
        <v>7</v>
      </c>
    </row>
    <row r="234" spans="1:8" x14ac:dyDescent="0.2">
      <c r="A234" s="2">
        <v>43892</v>
      </c>
      <c r="B234" s="1" t="s">
        <v>129</v>
      </c>
      <c r="C234" s="1">
        <v>102</v>
      </c>
      <c r="D234" s="1">
        <f t="shared" ca="1" si="17"/>
        <v>7</v>
      </c>
      <c r="E234" s="1">
        <f>VLOOKUP(C234,商品表!A:C,3,0)</f>
        <v>7.9</v>
      </c>
      <c r="F234" s="1">
        <f>VLOOKUP(C234,商品表!A:D,4,0)</f>
        <v>5</v>
      </c>
      <c r="G234" s="1">
        <f t="shared" ca="1" si="18"/>
        <v>55.300000000000004</v>
      </c>
      <c r="H234" s="1">
        <f t="shared" ca="1" si="19"/>
        <v>20.300000000000004</v>
      </c>
    </row>
    <row r="235" spans="1:8" x14ac:dyDescent="0.2">
      <c r="A235" s="2">
        <v>43892</v>
      </c>
      <c r="B235" s="1" t="s">
        <v>130</v>
      </c>
      <c r="C235" s="1">
        <v>102</v>
      </c>
      <c r="D235" s="1">
        <f t="shared" ca="1" si="17"/>
        <v>6</v>
      </c>
      <c r="E235" s="1">
        <f>VLOOKUP(C235,商品表!A:C,3,0)</f>
        <v>7.9</v>
      </c>
      <c r="F235" s="1">
        <f>VLOOKUP(C235,商品表!A:D,4,0)</f>
        <v>5</v>
      </c>
      <c r="G235" s="1">
        <f t="shared" ca="1" si="18"/>
        <v>47.400000000000006</v>
      </c>
      <c r="H235" s="1">
        <f t="shared" ca="1" si="19"/>
        <v>17.400000000000002</v>
      </c>
    </row>
    <row r="236" spans="1:8" x14ac:dyDescent="0.2">
      <c r="A236" s="2">
        <v>43892</v>
      </c>
      <c r="B236" s="1" t="s">
        <v>131</v>
      </c>
      <c r="C236" s="1">
        <v>102</v>
      </c>
      <c r="D236" s="1">
        <f t="shared" ca="1" si="17"/>
        <v>4</v>
      </c>
      <c r="E236" s="1">
        <f>VLOOKUP(C236,商品表!A:C,3,0)</f>
        <v>7.9</v>
      </c>
      <c r="F236" s="1">
        <f>VLOOKUP(C236,商品表!A:D,4,0)</f>
        <v>5</v>
      </c>
      <c r="G236" s="1">
        <f t="shared" ca="1" si="18"/>
        <v>31.6</v>
      </c>
      <c r="H236" s="1">
        <f t="shared" ca="1" si="19"/>
        <v>11.600000000000001</v>
      </c>
    </row>
    <row r="237" spans="1:8" x14ac:dyDescent="0.2">
      <c r="A237" s="2">
        <v>43892</v>
      </c>
      <c r="B237" s="1" t="s">
        <v>132</v>
      </c>
      <c r="C237" s="1">
        <v>104</v>
      </c>
      <c r="D237" s="1">
        <f t="shared" ca="1" si="17"/>
        <v>5</v>
      </c>
      <c r="E237" s="1">
        <f>VLOOKUP(C237,商品表!A:C,3,0)</f>
        <v>19.899999999999999</v>
      </c>
      <c r="F237" s="1">
        <f>VLOOKUP(C237,商品表!A:D,4,0)</f>
        <v>17.899999999999999</v>
      </c>
      <c r="G237" s="1">
        <f t="shared" ca="1" si="18"/>
        <v>99.5</v>
      </c>
      <c r="H237" s="1">
        <f t="shared" ca="1" si="19"/>
        <v>10</v>
      </c>
    </row>
    <row r="238" spans="1:8" x14ac:dyDescent="0.2">
      <c r="A238" s="2">
        <v>43892</v>
      </c>
      <c r="B238" s="1" t="s">
        <v>133</v>
      </c>
      <c r="C238" s="1">
        <v>103</v>
      </c>
      <c r="D238" s="1">
        <f t="shared" ca="1" si="17"/>
        <v>7</v>
      </c>
      <c r="E238" s="1">
        <f>VLOOKUP(C238,商品表!A:C,3,0)</f>
        <v>3.5</v>
      </c>
      <c r="F238" s="1">
        <f>VLOOKUP(C238,商品表!A:D,4,0)</f>
        <v>2.5</v>
      </c>
      <c r="G238" s="1">
        <f t="shared" ca="1" si="18"/>
        <v>24.5</v>
      </c>
      <c r="H238" s="1">
        <f t="shared" ca="1" si="19"/>
        <v>7</v>
      </c>
    </row>
    <row r="239" spans="1:8" x14ac:dyDescent="0.2">
      <c r="A239" s="2">
        <v>43892</v>
      </c>
      <c r="B239" s="1" t="s">
        <v>134</v>
      </c>
      <c r="C239" s="1">
        <v>102</v>
      </c>
      <c r="D239" s="1">
        <f t="shared" ca="1" si="17"/>
        <v>10</v>
      </c>
      <c r="E239" s="1">
        <f>VLOOKUP(C239,商品表!A:C,3,0)</f>
        <v>7.9</v>
      </c>
      <c r="F239" s="1">
        <f>VLOOKUP(C239,商品表!A:D,4,0)</f>
        <v>5</v>
      </c>
      <c r="G239" s="1">
        <f t="shared" ca="1" si="18"/>
        <v>79</v>
      </c>
      <c r="H239" s="1">
        <f t="shared" ca="1" si="19"/>
        <v>29.000000000000004</v>
      </c>
    </row>
    <row r="240" spans="1:8" x14ac:dyDescent="0.2">
      <c r="A240" s="2">
        <v>43892</v>
      </c>
      <c r="B240" s="1" t="s">
        <v>135</v>
      </c>
      <c r="C240" s="1">
        <v>102</v>
      </c>
      <c r="D240" s="1">
        <f t="shared" ca="1" si="17"/>
        <v>5</v>
      </c>
      <c r="E240" s="1">
        <f>VLOOKUP(C240,商品表!A:C,3,0)</f>
        <v>7.9</v>
      </c>
      <c r="F240" s="1">
        <f>VLOOKUP(C240,商品表!A:D,4,0)</f>
        <v>5</v>
      </c>
      <c r="G240" s="1">
        <f t="shared" ca="1" si="18"/>
        <v>39.5</v>
      </c>
      <c r="H240" s="1">
        <f t="shared" ca="1" si="19"/>
        <v>14.500000000000002</v>
      </c>
    </row>
    <row r="241" spans="1:8" x14ac:dyDescent="0.2">
      <c r="A241" s="2">
        <v>43892</v>
      </c>
      <c r="B241" s="1" t="s">
        <v>136</v>
      </c>
      <c r="C241" s="1">
        <v>102</v>
      </c>
      <c r="D241" s="1">
        <f t="shared" ca="1" si="17"/>
        <v>5</v>
      </c>
      <c r="E241" s="1">
        <f>VLOOKUP(C241,商品表!A:C,3,0)</f>
        <v>7.9</v>
      </c>
      <c r="F241" s="1">
        <f>VLOOKUP(C241,商品表!A:D,4,0)</f>
        <v>5</v>
      </c>
      <c r="G241" s="1">
        <f t="shared" ca="1" si="18"/>
        <v>39.5</v>
      </c>
      <c r="H241" s="1">
        <f t="shared" ca="1" si="19"/>
        <v>14.500000000000002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0090F7-9C6D-470A-95C3-54018C9DB7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商品表</vt:lpstr>
      <vt:lpstr>日期表</vt:lpstr>
      <vt:lpstr>销售表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2020-03-14T08:14:59Z</dcterms:modified>
</cp:coreProperties>
</file>