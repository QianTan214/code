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基础篇中\"/>
    </mc:Choice>
  </mc:AlternateContent>
  <xr:revisionPtr revIDLastSave="0" documentId="13_ncr:1_{8AA72EC2-DE6D-4717-92EA-074544E1BFC7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产品表" sheetId="2" r:id="rId1"/>
    <sheet name="日期表" sheetId="4" r:id="rId2"/>
    <sheet name="客户表" sheetId="5" r:id="rId3"/>
    <sheet name="表3" sheetId="8" r:id="rId4"/>
    <sheet name="表1" sheetId="7" r:id="rId5"/>
    <sheet name="表2" sheetId="6" r:id="rId6"/>
    <sheet name="订单表" sheetId="1" r:id="rId7"/>
  </sheets>
  <definedNames>
    <definedName name="_xlnm._FilterDatabase" localSheetId="6" hidden="1">订单表!$A$1:$H$62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6" i="1" l="1"/>
  <c r="G56" i="1"/>
  <c r="H59" i="1"/>
  <c r="G59" i="1"/>
  <c r="H61" i="1"/>
  <c r="G61" i="1"/>
  <c r="H60" i="1"/>
  <c r="G60" i="1"/>
  <c r="H62" i="1"/>
  <c r="G62" i="1"/>
  <c r="H54" i="1"/>
  <c r="G54" i="1"/>
  <c r="H53" i="1"/>
  <c r="G53" i="1"/>
  <c r="H58" i="1"/>
  <c r="G58" i="1"/>
  <c r="H57" i="1"/>
  <c r="G57" i="1"/>
  <c r="H55" i="1"/>
  <c r="G55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 l="1"/>
  <c r="G26" i="1"/>
  <c r="H25" i="1"/>
  <c r="G25" i="1"/>
  <c r="H24" i="1" l="1"/>
  <c r="G24" i="1"/>
  <c r="H23" i="1"/>
  <c r="G23" i="1"/>
  <c r="H22" i="1"/>
  <c r="G22" i="1"/>
  <c r="H21" i="1"/>
  <c r="G21" i="1"/>
  <c r="H20" i="1"/>
  <c r="G20" i="1"/>
  <c r="H18" i="1"/>
  <c r="G18" i="1"/>
  <c r="H19" i="1"/>
  <c r="G19" i="1"/>
  <c r="H17" i="1"/>
  <c r="G17" i="1"/>
  <c r="H15" i="1"/>
  <c r="G15" i="1"/>
  <c r="H16" i="1"/>
  <c r="G16" i="1"/>
  <c r="H14" i="1"/>
  <c r="G14" i="1"/>
  <c r="H12" i="1"/>
  <c r="G12" i="1"/>
  <c r="H13" i="1"/>
  <c r="G13" i="1"/>
  <c r="H11" i="1"/>
  <c r="G11" i="1"/>
  <c r="G10" i="1"/>
  <c r="H10" i="1"/>
  <c r="G4" i="1"/>
  <c r="H4" i="1"/>
  <c r="G5" i="1"/>
  <c r="H5" i="1"/>
  <c r="G6" i="1"/>
  <c r="H6" i="1"/>
  <c r="G7" i="1"/>
  <c r="H7" i="1"/>
  <c r="G8" i="1"/>
  <c r="H8" i="1"/>
  <c r="G9" i="1"/>
  <c r="H9" i="1"/>
  <c r="H3" i="1"/>
  <c r="G3" i="1"/>
  <c r="G2" i="1"/>
  <c r="H2" i="1"/>
</calcChain>
</file>

<file path=xl/sharedStrings.xml><?xml version="1.0" encoding="utf-8"?>
<sst xmlns="http://schemas.openxmlformats.org/spreadsheetml/2006/main" count="141" uniqueCount="76">
  <si>
    <t>日期</t>
    <phoneticPr fontId="1" type="noConversion"/>
  </si>
  <si>
    <t>数量</t>
    <phoneticPr fontId="1" type="noConversion"/>
  </si>
  <si>
    <t>A2020301001</t>
    <phoneticPr fontId="1" type="noConversion"/>
  </si>
  <si>
    <t>销售金额</t>
    <phoneticPr fontId="1" type="noConversion"/>
  </si>
  <si>
    <t>毛利额</t>
    <phoneticPr fontId="1" type="noConversion"/>
  </si>
  <si>
    <t>售价</t>
    <phoneticPr fontId="1" type="noConversion"/>
  </si>
  <si>
    <t>进价</t>
    <phoneticPr fontId="1" type="noConversion"/>
  </si>
  <si>
    <t>A2020301002</t>
    <phoneticPr fontId="1" type="noConversion"/>
  </si>
  <si>
    <t>A2020301003</t>
    <phoneticPr fontId="1" type="noConversion"/>
  </si>
  <si>
    <t>A2020301004</t>
    <phoneticPr fontId="1" type="noConversion"/>
  </si>
  <si>
    <t>A2020301005</t>
    <phoneticPr fontId="1" type="noConversion"/>
  </si>
  <si>
    <t>A2020301006</t>
    <phoneticPr fontId="1" type="noConversion"/>
  </si>
  <si>
    <t>A2020301007</t>
    <phoneticPr fontId="1" type="noConversion"/>
  </si>
  <si>
    <t>A2020301008</t>
    <phoneticPr fontId="1" type="noConversion"/>
  </si>
  <si>
    <t>A2020301009</t>
    <phoneticPr fontId="1" type="noConversion"/>
  </si>
  <si>
    <t>A2020301010</t>
    <phoneticPr fontId="1" type="noConversion"/>
  </si>
  <si>
    <t>A2020301011</t>
    <phoneticPr fontId="1" type="noConversion"/>
  </si>
  <si>
    <t>A2020301012</t>
    <phoneticPr fontId="1" type="noConversion"/>
  </si>
  <si>
    <t>A2020301013</t>
  </si>
  <si>
    <t>鸡蛋</t>
  </si>
  <si>
    <t>西红柿</t>
  </si>
  <si>
    <t>菠菜</t>
  </si>
  <si>
    <t>卫生纸</t>
  </si>
  <si>
    <t>豆角</t>
  </si>
  <si>
    <t>黄瓜</t>
  </si>
  <si>
    <t>A2020302001</t>
    <phoneticPr fontId="1" type="noConversion"/>
  </si>
  <si>
    <t>A2020302002</t>
  </si>
  <si>
    <t>A2020302003</t>
  </si>
  <si>
    <t>A2020302004</t>
  </si>
  <si>
    <t>A2020302005</t>
  </si>
  <si>
    <t>A2020302006</t>
  </si>
  <si>
    <t>A2020302007</t>
  </si>
  <si>
    <t>A2020302008</t>
  </si>
  <si>
    <t>A2020302009</t>
  </si>
  <si>
    <t>A2020302010</t>
  </si>
  <si>
    <t>A2020302011</t>
  </si>
  <si>
    <t>A2020302012</t>
  </si>
  <si>
    <t>A2020302013</t>
  </si>
  <si>
    <t>A2020302014</t>
  </si>
  <si>
    <t>A2020302015</t>
  </si>
  <si>
    <t>A2020302016</t>
  </si>
  <si>
    <t>A2020302017</t>
  </si>
  <si>
    <t>A2020302018</t>
  </si>
  <si>
    <t>A2020302018</t>
    <phoneticPr fontId="1" type="noConversion"/>
  </si>
  <si>
    <t>星期</t>
    <phoneticPr fontId="1" type="noConversion"/>
  </si>
  <si>
    <t>周日</t>
    <phoneticPr fontId="1" type="noConversion"/>
  </si>
  <si>
    <t>周一</t>
    <phoneticPr fontId="1" type="noConversion"/>
  </si>
  <si>
    <t>A2020301001</t>
  </si>
  <si>
    <t>A2020301002</t>
  </si>
  <si>
    <t>A2020301003</t>
  </si>
  <si>
    <t>A2020301004</t>
  </si>
  <si>
    <t>A2020301005</t>
  </si>
  <si>
    <t>A2020301006</t>
  </si>
  <si>
    <t>A2020301007</t>
  </si>
  <si>
    <t>A2020301008</t>
  </si>
  <si>
    <t>A2020301009</t>
  </si>
  <si>
    <t>A2020301010</t>
  </si>
  <si>
    <t>A2020301011</t>
  </si>
  <si>
    <t>A2020301012</t>
  </si>
  <si>
    <t>A2020302001</t>
  </si>
  <si>
    <t>客户ID</t>
    <phoneticPr fontId="1" type="noConversion"/>
  </si>
  <si>
    <t>产品ID</t>
    <phoneticPr fontId="1" type="noConversion"/>
  </si>
  <si>
    <t>产品名</t>
    <phoneticPr fontId="1" type="noConversion"/>
  </si>
  <si>
    <t>姓名</t>
    <phoneticPr fontId="1" type="noConversion"/>
  </si>
  <si>
    <t>性别</t>
    <phoneticPr fontId="1" type="noConversion"/>
  </si>
  <si>
    <t>年龄</t>
    <phoneticPr fontId="1" type="noConversion"/>
  </si>
  <si>
    <t>李平平</t>
    <phoneticPr fontId="1" type="noConversion"/>
  </si>
  <si>
    <t>丁智敏</t>
    <phoneticPr fontId="1" type="noConversion"/>
  </si>
  <si>
    <t>卢海军</t>
    <phoneticPr fontId="1" type="noConversion"/>
  </si>
  <si>
    <t>女</t>
    <phoneticPr fontId="1" type="noConversion"/>
  </si>
  <si>
    <t>男</t>
    <phoneticPr fontId="1" type="noConversion"/>
  </si>
  <si>
    <t>王松</t>
    <phoneticPr fontId="1" type="noConversion"/>
  </si>
  <si>
    <t>张伊</t>
    <phoneticPr fontId="1" type="noConversion"/>
  </si>
  <si>
    <t>王刚</t>
    <phoneticPr fontId="1" type="noConversion"/>
  </si>
  <si>
    <t>工资</t>
    <phoneticPr fontId="1" type="noConversion"/>
  </si>
  <si>
    <t>姓名1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</si>
</sst>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9AD7-59FE-4790-8937-ACE452ECC7CE}">
  <dimension ref="A1:B7"/>
  <sheetViews>
    <sheetView workbookViewId="0"/>
  </sheetViews>
  <sheetFormatPr defaultRowHeight="14.25" x14ac:dyDescent="0.2"/>
  <cols>
    <col min="1" max="2" width="9" style="1"/>
  </cols>
  <sheetData>
    <row r="1" spans="1:2" x14ac:dyDescent="0.2">
      <c r="A1" s="1" t="s">
        <v>61</v>
      </c>
      <c r="B1" s="1" t="s">
        <v>62</v>
      </c>
    </row>
    <row r="2" spans="1:2" x14ac:dyDescent="0.2">
      <c r="A2" s="1">
        <v>101</v>
      </c>
      <c r="B2" s="1" t="s">
        <v>19</v>
      </c>
    </row>
    <row r="3" spans="1:2" x14ac:dyDescent="0.2">
      <c r="A3" s="1">
        <v>102</v>
      </c>
      <c r="B3" s="1" t="s">
        <v>20</v>
      </c>
    </row>
    <row r="4" spans="1:2" x14ac:dyDescent="0.2">
      <c r="A4" s="1">
        <v>103</v>
      </c>
      <c r="B4" s="1" t="s">
        <v>21</v>
      </c>
    </row>
    <row r="5" spans="1:2" x14ac:dyDescent="0.2">
      <c r="A5" s="1">
        <v>104</v>
      </c>
      <c r="B5" s="1" t="s">
        <v>22</v>
      </c>
    </row>
    <row r="6" spans="1:2" x14ac:dyDescent="0.2">
      <c r="A6" s="1">
        <v>105</v>
      </c>
      <c r="B6" s="1" t="s">
        <v>23</v>
      </c>
    </row>
    <row r="7" spans="1:2" x14ac:dyDescent="0.2">
      <c r="A7" s="1">
        <v>106</v>
      </c>
      <c r="B7" s="1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441E-B46A-4403-AEBF-7304D6CA1EEE}">
  <dimension ref="A1:B3"/>
  <sheetViews>
    <sheetView workbookViewId="0">
      <selection activeCell="F13" sqref="F13"/>
    </sheetView>
  </sheetViews>
  <sheetFormatPr defaultRowHeight="14.25" x14ac:dyDescent="0.2"/>
  <cols>
    <col min="2" max="2" width="9" style="1"/>
  </cols>
  <sheetData>
    <row r="1" spans="1:2" x14ac:dyDescent="0.2">
      <c r="A1" s="1" t="s">
        <v>0</v>
      </c>
      <c r="B1" s="1" t="s">
        <v>44</v>
      </c>
    </row>
    <row r="2" spans="1:2" x14ac:dyDescent="0.2">
      <c r="A2" s="2">
        <v>43891</v>
      </c>
      <c r="B2" s="1" t="s">
        <v>45</v>
      </c>
    </row>
    <row r="3" spans="1:2" x14ac:dyDescent="0.2">
      <c r="A3" s="2">
        <v>43892</v>
      </c>
      <c r="B3" s="1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3EC5-51F3-4250-BFE3-76A2C64DB21D}">
  <dimension ref="A1:A32"/>
  <sheetViews>
    <sheetView workbookViewId="0">
      <selection activeCell="A2" sqref="A2:A32"/>
    </sheetView>
  </sheetViews>
  <sheetFormatPr defaultRowHeight="14.25" x14ac:dyDescent="0.2"/>
  <cols>
    <col min="1" max="1" width="13" bestFit="1" customWidth="1"/>
  </cols>
  <sheetData>
    <row r="1" spans="1:1" x14ac:dyDescent="0.2">
      <c r="A1" t="s">
        <v>60</v>
      </c>
    </row>
    <row r="2" spans="1:1" x14ac:dyDescent="0.2">
      <c r="A2" t="s">
        <v>47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t="s">
        <v>50</v>
      </c>
    </row>
    <row r="6" spans="1:1" x14ac:dyDescent="0.2">
      <c r="A6" t="s">
        <v>51</v>
      </c>
    </row>
    <row r="7" spans="1:1" x14ac:dyDescent="0.2">
      <c r="A7" t="s">
        <v>52</v>
      </c>
    </row>
    <row r="8" spans="1:1" x14ac:dyDescent="0.2">
      <c r="A8" t="s">
        <v>53</v>
      </c>
    </row>
    <row r="9" spans="1:1" x14ac:dyDescent="0.2">
      <c r="A9" t="s">
        <v>54</v>
      </c>
    </row>
    <row r="10" spans="1:1" x14ac:dyDescent="0.2">
      <c r="A10" t="s">
        <v>55</v>
      </c>
    </row>
    <row r="11" spans="1:1" x14ac:dyDescent="0.2">
      <c r="A11" t="s">
        <v>56</v>
      </c>
    </row>
    <row r="12" spans="1:1" x14ac:dyDescent="0.2">
      <c r="A12" t="s">
        <v>57</v>
      </c>
    </row>
    <row r="13" spans="1:1" x14ac:dyDescent="0.2">
      <c r="A13" t="s">
        <v>58</v>
      </c>
    </row>
    <row r="14" spans="1:1" x14ac:dyDescent="0.2">
      <c r="A14" t="s">
        <v>18</v>
      </c>
    </row>
    <row r="15" spans="1:1" x14ac:dyDescent="0.2">
      <c r="A15" t="s">
        <v>59</v>
      </c>
    </row>
    <row r="16" spans="1:1" x14ac:dyDescent="0.2">
      <c r="A16" t="s">
        <v>26</v>
      </c>
    </row>
    <row r="17" spans="1:1" x14ac:dyDescent="0.2">
      <c r="A17" t="s">
        <v>42</v>
      </c>
    </row>
    <row r="18" spans="1:1" x14ac:dyDescent="0.2">
      <c r="A18" t="s">
        <v>27</v>
      </c>
    </row>
    <row r="19" spans="1:1" x14ac:dyDescent="0.2">
      <c r="A19" t="s">
        <v>28</v>
      </c>
    </row>
    <row r="20" spans="1:1" x14ac:dyDescent="0.2">
      <c r="A20" t="s">
        <v>29</v>
      </c>
    </row>
    <row r="21" spans="1:1" x14ac:dyDescent="0.2">
      <c r="A21" t="s">
        <v>30</v>
      </c>
    </row>
    <row r="22" spans="1:1" x14ac:dyDescent="0.2">
      <c r="A22" t="s">
        <v>31</v>
      </c>
    </row>
    <row r="23" spans="1:1" x14ac:dyDescent="0.2">
      <c r="A23" t="s">
        <v>32</v>
      </c>
    </row>
    <row r="24" spans="1:1" x14ac:dyDescent="0.2">
      <c r="A24" t="s">
        <v>33</v>
      </c>
    </row>
    <row r="25" spans="1:1" x14ac:dyDescent="0.2">
      <c r="A25" t="s">
        <v>34</v>
      </c>
    </row>
    <row r="26" spans="1:1" x14ac:dyDescent="0.2">
      <c r="A26" t="s">
        <v>35</v>
      </c>
    </row>
    <row r="27" spans="1:1" x14ac:dyDescent="0.2">
      <c r="A27" t="s">
        <v>36</v>
      </c>
    </row>
    <row r="28" spans="1:1" x14ac:dyDescent="0.2">
      <c r="A28" t="s">
        <v>37</v>
      </c>
    </row>
    <row r="29" spans="1:1" x14ac:dyDescent="0.2">
      <c r="A29" t="s">
        <v>38</v>
      </c>
    </row>
    <row r="30" spans="1:1" x14ac:dyDescent="0.2">
      <c r="A30" t="s">
        <v>39</v>
      </c>
    </row>
    <row r="31" spans="1:1" x14ac:dyDescent="0.2">
      <c r="A31" t="s">
        <v>40</v>
      </c>
    </row>
    <row r="32" spans="1:1" x14ac:dyDescent="0.2">
      <c r="A32" t="s">
        <v>41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AAAE-E854-43A0-A0EF-7358B3DF3AD6}">
  <dimension ref="A1:B7"/>
  <sheetViews>
    <sheetView tabSelected="1" workbookViewId="0">
      <selection activeCell="A2" sqref="A2"/>
    </sheetView>
  </sheetViews>
  <sheetFormatPr defaultRowHeight="14.25" x14ac:dyDescent="0.2"/>
  <sheetData>
    <row r="1" spans="1:2" x14ac:dyDescent="0.2">
      <c r="A1" t="s">
        <v>75</v>
      </c>
      <c r="B1" t="s">
        <v>74</v>
      </c>
    </row>
    <row r="2" spans="1:2" x14ac:dyDescent="0.2">
      <c r="A2" t="s">
        <v>71</v>
      </c>
      <c r="B2">
        <v>3000</v>
      </c>
    </row>
    <row r="3" spans="1:2" x14ac:dyDescent="0.2">
      <c r="A3" t="s">
        <v>72</v>
      </c>
      <c r="B3">
        <v>5000</v>
      </c>
    </row>
    <row r="4" spans="1:2" x14ac:dyDescent="0.2">
      <c r="A4" t="s">
        <v>73</v>
      </c>
      <c r="B4">
        <v>3000</v>
      </c>
    </row>
    <row r="5" spans="1:2" x14ac:dyDescent="0.2">
      <c r="A5" t="s">
        <v>66</v>
      </c>
      <c r="B5">
        <v>2000</v>
      </c>
    </row>
    <row r="6" spans="1:2" x14ac:dyDescent="0.2">
      <c r="A6" t="s">
        <v>67</v>
      </c>
      <c r="B6">
        <v>1800</v>
      </c>
    </row>
    <row r="7" spans="1:2" x14ac:dyDescent="0.2">
      <c r="A7" t="s">
        <v>68</v>
      </c>
      <c r="B7">
        <v>3200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6B9B-3E24-457A-9F75-F878CD411342}">
  <dimension ref="A1:C4"/>
  <sheetViews>
    <sheetView workbookViewId="0">
      <selection activeCell="A2" sqref="A2:A4"/>
    </sheetView>
  </sheetViews>
  <sheetFormatPr defaultRowHeight="14.25" x14ac:dyDescent="0.2"/>
  <sheetData>
    <row r="1" spans="1:3" x14ac:dyDescent="0.2">
      <c r="A1" t="s">
        <v>63</v>
      </c>
      <c r="B1" t="s">
        <v>64</v>
      </c>
      <c r="C1" t="s">
        <v>65</v>
      </c>
    </row>
    <row r="2" spans="1:3" x14ac:dyDescent="0.2">
      <c r="A2" t="s">
        <v>71</v>
      </c>
      <c r="B2" t="s">
        <v>70</v>
      </c>
      <c r="C2">
        <v>26</v>
      </c>
    </row>
    <row r="3" spans="1:3" x14ac:dyDescent="0.2">
      <c r="A3" t="s">
        <v>72</v>
      </c>
      <c r="B3" t="s">
        <v>69</v>
      </c>
      <c r="C3">
        <v>35</v>
      </c>
    </row>
    <row r="4" spans="1:3" x14ac:dyDescent="0.2">
      <c r="A4" t="s">
        <v>73</v>
      </c>
      <c r="B4" t="s">
        <v>70</v>
      </c>
      <c r="C4">
        <v>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5658-2782-47E5-8A3D-9ACE279BF259}">
  <dimension ref="A1:C5"/>
  <sheetViews>
    <sheetView workbookViewId="0">
      <selection activeCell="C5" sqref="C5"/>
    </sheetView>
  </sheetViews>
  <sheetFormatPr defaultRowHeight="14.25" x14ac:dyDescent="0.2"/>
  <sheetData>
    <row r="1" spans="1:3" x14ac:dyDescent="0.2">
      <c r="A1" t="s">
        <v>63</v>
      </c>
      <c r="B1" t="s">
        <v>64</v>
      </c>
      <c r="C1" t="s">
        <v>65</v>
      </c>
    </row>
    <row r="2" spans="1:3" x14ac:dyDescent="0.2">
      <c r="A2" t="s">
        <v>66</v>
      </c>
      <c r="B2" t="s">
        <v>69</v>
      </c>
      <c r="C2">
        <v>26</v>
      </c>
    </row>
    <row r="3" spans="1:3" x14ac:dyDescent="0.2">
      <c r="A3" t="s">
        <v>67</v>
      </c>
      <c r="B3" t="s">
        <v>69</v>
      </c>
      <c r="C3">
        <v>36</v>
      </c>
    </row>
    <row r="4" spans="1:3" x14ac:dyDescent="0.2">
      <c r="A4" t="s">
        <v>68</v>
      </c>
      <c r="B4" t="s">
        <v>70</v>
      </c>
      <c r="C4">
        <v>32</v>
      </c>
    </row>
    <row r="5" spans="1:3" x14ac:dyDescent="0.2">
      <c r="A5" t="s">
        <v>67</v>
      </c>
      <c r="B5" t="s">
        <v>69</v>
      </c>
      <c r="C5">
        <v>36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workbookViewId="0">
      <selection activeCell="B1" sqref="B1"/>
    </sheetView>
  </sheetViews>
  <sheetFormatPr defaultRowHeight="14.25" x14ac:dyDescent="0.2"/>
  <cols>
    <col min="1" max="1" width="9" style="1"/>
    <col min="2" max="2" width="13" style="1" bestFit="1" customWidth="1"/>
    <col min="3" max="8" width="9" style="1"/>
  </cols>
  <sheetData>
    <row r="1" spans="1:8" x14ac:dyDescent="0.2">
      <c r="A1" s="1" t="s">
        <v>0</v>
      </c>
      <c r="B1" s="1" t="s">
        <v>60</v>
      </c>
      <c r="C1" s="1" t="s">
        <v>61</v>
      </c>
      <c r="D1" s="1" t="s">
        <v>1</v>
      </c>
      <c r="E1" s="1" t="s">
        <v>5</v>
      </c>
      <c r="F1" s="1" t="s">
        <v>6</v>
      </c>
      <c r="G1" s="1" t="s">
        <v>3</v>
      </c>
      <c r="H1" s="1" t="s">
        <v>4</v>
      </c>
    </row>
    <row r="2" spans="1:8" x14ac:dyDescent="0.2">
      <c r="A2" s="2">
        <v>43891</v>
      </c>
      <c r="B2" s="1" t="s">
        <v>2</v>
      </c>
      <c r="C2" s="1">
        <v>101</v>
      </c>
      <c r="D2" s="1">
        <v>5</v>
      </c>
      <c r="E2" s="1">
        <v>2.5</v>
      </c>
      <c r="F2" s="1">
        <v>3</v>
      </c>
      <c r="G2" s="1">
        <f>D2*E2</f>
        <v>12.5</v>
      </c>
      <c r="H2" s="1">
        <f>D2*(E2-F2)</f>
        <v>-2.5</v>
      </c>
    </row>
    <row r="3" spans="1:8" x14ac:dyDescent="0.2">
      <c r="A3" s="2">
        <v>43891</v>
      </c>
      <c r="B3" s="1" t="s">
        <v>2</v>
      </c>
      <c r="C3" s="1">
        <v>102</v>
      </c>
      <c r="D3" s="1">
        <v>3</v>
      </c>
      <c r="E3" s="1">
        <v>7.9</v>
      </c>
      <c r="F3" s="1">
        <v>5</v>
      </c>
      <c r="G3" s="1">
        <f>D3*E3</f>
        <v>23.700000000000003</v>
      </c>
      <c r="H3" s="1">
        <f>D3*(E3-F3)</f>
        <v>8.7000000000000011</v>
      </c>
    </row>
    <row r="4" spans="1:8" x14ac:dyDescent="0.2">
      <c r="A4" s="2">
        <v>43891</v>
      </c>
      <c r="B4" s="1" t="s">
        <v>7</v>
      </c>
      <c r="C4" s="1">
        <v>101</v>
      </c>
      <c r="D4" s="1">
        <v>10</v>
      </c>
      <c r="E4" s="1">
        <v>2.5</v>
      </c>
      <c r="F4" s="1">
        <v>3</v>
      </c>
      <c r="G4" s="1">
        <f t="shared" ref="G4:G9" si="0">D4*E4</f>
        <v>25</v>
      </c>
      <c r="H4" s="1">
        <f t="shared" ref="H4:H9" si="1">D4*(E4-F4)</f>
        <v>-5</v>
      </c>
    </row>
    <row r="5" spans="1:8" x14ac:dyDescent="0.2">
      <c r="A5" s="2">
        <v>43891</v>
      </c>
      <c r="B5" s="1" t="s">
        <v>8</v>
      </c>
      <c r="C5" s="1">
        <v>101</v>
      </c>
      <c r="D5" s="1">
        <v>4</v>
      </c>
      <c r="E5" s="1">
        <v>2.5</v>
      </c>
      <c r="F5" s="1">
        <v>3</v>
      </c>
      <c r="G5" s="1">
        <f t="shared" si="0"/>
        <v>10</v>
      </c>
      <c r="H5" s="1">
        <f t="shared" si="1"/>
        <v>-2</v>
      </c>
    </row>
    <row r="6" spans="1:8" x14ac:dyDescent="0.2">
      <c r="A6" s="2">
        <v>43891</v>
      </c>
      <c r="B6" s="1" t="s">
        <v>8</v>
      </c>
      <c r="C6" s="1">
        <v>103</v>
      </c>
      <c r="D6" s="1">
        <v>2</v>
      </c>
      <c r="E6" s="1">
        <v>3.5</v>
      </c>
      <c r="F6" s="1">
        <v>2.5</v>
      </c>
      <c r="G6" s="1">
        <f t="shared" si="0"/>
        <v>7</v>
      </c>
      <c r="H6" s="1">
        <f t="shared" si="1"/>
        <v>2</v>
      </c>
    </row>
    <row r="7" spans="1:8" x14ac:dyDescent="0.2">
      <c r="A7" s="2">
        <v>43891</v>
      </c>
      <c r="B7" s="1" t="s">
        <v>9</v>
      </c>
      <c r="C7" s="1">
        <v>101</v>
      </c>
      <c r="D7" s="1">
        <v>6</v>
      </c>
      <c r="E7" s="1">
        <v>2.5</v>
      </c>
      <c r="F7" s="1">
        <v>3</v>
      </c>
      <c r="G7" s="1">
        <f t="shared" si="0"/>
        <v>15</v>
      </c>
      <c r="H7" s="1">
        <f t="shared" si="1"/>
        <v>-3</v>
      </c>
    </row>
    <row r="8" spans="1:8" x14ac:dyDescent="0.2">
      <c r="A8" s="2">
        <v>43891</v>
      </c>
      <c r="B8" s="1" t="s">
        <v>9</v>
      </c>
      <c r="C8" s="1">
        <v>104</v>
      </c>
      <c r="D8" s="1">
        <v>1</v>
      </c>
      <c r="E8" s="1">
        <v>19.899999999999999</v>
      </c>
      <c r="F8" s="1">
        <v>17.899999999999999</v>
      </c>
      <c r="G8" s="1">
        <f t="shared" si="0"/>
        <v>19.899999999999999</v>
      </c>
      <c r="H8" s="1">
        <f t="shared" si="1"/>
        <v>2</v>
      </c>
    </row>
    <row r="9" spans="1:8" x14ac:dyDescent="0.2">
      <c r="A9" s="2">
        <v>43891</v>
      </c>
      <c r="B9" s="1" t="s">
        <v>10</v>
      </c>
      <c r="C9" s="1">
        <v>101</v>
      </c>
      <c r="D9" s="1">
        <v>4</v>
      </c>
      <c r="E9" s="1">
        <v>2.5</v>
      </c>
      <c r="F9" s="1">
        <v>3</v>
      </c>
      <c r="G9" s="1">
        <f t="shared" si="0"/>
        <v>10</v>
      </c>
      <c r="H9" s="1">
        <f t="shared" si="1"/>
        <v>-2</v>
      </c>
    </row>
    <row r="10" spans="1:8" x14ac:dyDescent="0.2">
      <c r="A10" s="2">
        <v>43891</v>
      </c>
      <c r="B10" s="1" t="s">
        <v>10</v>
      </c>
      <c r="C10" s="1">
        <v>102</v>
      </c>
      <c r="D10" s="1">
        <v>2</v>
      </c>
      <c r="E10" s="1">
        <v>7.9</v>
      </c>
      <c r="F10" s="1">
        <v>5</v>
      </c>
      <c r="G10" s="1">
        <f t="shared" ref="G10:G26" si="2">D10*E10</f>
        <v>15.8</v>
      </c>
      <c r="H10" s="1">
        <f t="shared" ref="H10:H26" si="3">D10*(E10-F10)</f>
        <v>5.8000000000000007</v>
      </c>
    </row>
    <row r="11" spans="1:8" x14ac:dyDescent="0.2">
      <c r="A11" s="2">
        <v>43891</v>
      </c>
      <c r="B11" s="1" t="s">
        <v>11</v>
      </c>
      <c r="C11" s="1">
        <v>101</v>
      </c>
      <c r="D11" s="1">
        <v>3</v>
      </c>
      <c r="E11" s="1">
        <v>2.5</v>
      </c>
      <c r="F11" s="1">
        <v>3</v>
      </c>
      <c r="G11" s="1">
        <f t="shared" si="2"/>
        <v>7.5</v>
      </c>
      <c r="H11" s="1">
        <f t="shared" si="3"/>
        <v>-1.5</v>
      </c>
    </row>
    <row r="12" spans="1:8" x14ac:dyDescent="0.2">
      <c r="A12" s="2">
        <v>43891</v>
      </c>
      <c r="B12" s="1" t="s">
        <v>11</v>
      </c>
      <c r="C12" s="1">
        <v>102</v>
      </c>
      <c r="D12" s="1">
        <v>2</v>
      </c>
      <c r="E12" s="1">
        <v>7.9</v>
      </c>
      <c r="F12" s="1">
        <v>5</v>
      </c>
      <c r="G12" s="1">
        <f t="shared" si="2"/>
        <v>15.8</v>
      </c>
      <c r="H12" s="1">
        <f t="shared" si="3"/>
        <v>5.8000000000000007</v>
      </c>
    </row>
    <row r="13" spans="1:8" x14ac:dyDescent="0.2">
      <c r="A13" s="2">
        <v>43891</v>
      </c>
      <c r="B13" s="1" t="s">
        <v>12</v>
      </c>
      <c r="C13" s="1">
        <v>101</v>
      </c>
      <c r="D13" s="1">
        <v>6</v>
      </c>
      <c r="E13" s="1">
        <v>2.5</v>
      </c>
      <c r="F13" s="1">
        <v>3</v>
      </c>
      <c r="G13" s="1">
        <f t="shared" si="2"/>
        <v>15</v>
      </c>
      <c r="H13" s="1">
        <f t="shared" si="3"/>
        <v>-3</v>
      </c>
    </row>
    <row r="14" spans="1:8" x14ac:dyDescent="0.2">
      <c r="A14" s="2">
        <v>43891</v>
      </c>
      <c r="B14" s="1" t="s">
        <v>12</v>
      </c>
      <c r="C14" s="1">
        <v>105</v>
      </c>
      <c r="D14" s="1">
        <v>2</v>
      </c>
      <c r="E14" s="1">
        <v>8.8000000000000007</v>
      </c>
      <c r="F14" s="1">
        <v>6.8</v>
      </c>
      <c r="G14" s="1">
        <f t="shared" si="2"/>
        <v>17.600000000000001</v>
      </c>
      <c r="H14" s="1">
        <f t="shared" si="3"/>
        <v>4.0000000000000018</v>
      </c>
    </row>
    <row r="15" spans="1:8" x14ac:dyDescent="0.2">
      <c r="A15" s="2">
        <v>43891</v>
      </c>
      <c r="B15" s="1" t="s">
        <v>13</v>
      </c>
      <c r="C15" s="1">
        <v>101</v>
      </c>
      <c r="D15" s="1">
        <v>3</v>
      </c>
      <c r="E15" s="1">
        <v>2.5</v>
      </c>
      <c r="F15" s="1">
        <v>3</v>
      </c>
      <c r="G15" s="1">
        <f t="shared" si="2"/>
        <v>7.5</v>
      </c>
      <c r="H15" s="1">
        <f t="shared" si="3"/>
        <v>-1.5</v>
      </c>
    </row>
    <row r="16" spans="1:8" x14ac:dyDescent="0.2">
      <c r="A16" s="2">
        <v>43891</v>
      </c>
      <c r="B16" s="1" t="s">
        <v>13</v>
      </c>
      <c r="C16" s="1">
        <v>102</v>
      </c>
      <c r="D16" s="1">
        <v>2</v>
      </c>
      <c r="E16" s="1">
        <v>7.9</v>
      </c>
      <c r="F16" s="1">
        <v>5</v>
      </c>
      <c r="G16" s="1">
        <f t="shared" si="2"/>
        <v>15.8</v>
      </c>
      <c r="H16" s="1">
        <f t="shared" si="3"/>
        <v>5.8000000000000007</v>
      </c>
    </row>
    <row r="17" spans="1:8" x14ac:dyDescent="0.2">
      <c r="A17" s="2">
        <v>43891</v>
      </c>
      <c r="B17" s="1" t="s">
        <v>14</v>
      </c>
      <c r="C17" s="1">
        <v>101</v>
      </c>
      <c r="D17" s="1">
        <v>3</v>
      </c>
      <c r="E17" s="1">
        <v>2.5</v>
      </c>
      <c r="F17" s="1">
        <v>3</v>
      </c>
      <c r="G17" s="1">
        <f t="shared" si="2"/>
        <v>7.5</v>
      </c>
      <c r="H17" s="1">
        <f t="shared" si="3"/>
        <v>-1.5</v>
      </c>
    </row>
    <row r="18" spans="1:8" x14ac:dyDescent="0.2">
      <c r="A18" s="2">
        <v>43891</v>
      </c>
      <c r="B18" s="1" t="s">
        <v>14</v>
      </c>
      <c r="C18" s="1">
        <v>106</v>
      </c>
      <c r="D18" s="1">
        <v>3</v>
      </c>
      <c r="E18" s="1">
        <v>5.9</v>
      </c>
      <c r="F18" s="1">
        <v>3.9</v>
      </c>
      <c r="G18" s="1">
        <f t="shared" si="2"/>
        <v>17.700000000000003</v>
      </c>
      <c r="H18" s="1">
        <f t="shared" si="3"/>
        <v>6.0000000000000018</v>
      </c>
    </row>
    <row r="19" spans="1:8" x14ac:dyDescent="0.2">
      <c r="A19" s="2">
        <v>43891</v>
      </c>
      <c r="B19" s="1" t="s">
        <v>15</v>
      </c>
      <c r="C19" s="1">
        <v>101</v>
      </c>
      <c r="D19" s="1">
        <v>3</v>
      </c>
      <c r="E19" s="1">
        <v>2.5</v>
      </c>
      <c r="F19" s="1">
        <v>3</v>
      </c>
      <c r="G19" s="1">
        <f t="shared" si="2"/>
        <v>7.5</v>
      </c>
      <c r="H19" s="1">
        <f t="shared" si="3"/>
        <v>-1.5</v>
      </c>
    </row>
    <row r="20" spans="1:8" x14ac:dyDescent="0.2">
      <c r="A20" s="2">
        <v>43891</v>
      </c>
      <c r="B20" s="1" t="s">
        <v>15</v>
      </c>
      <c r="C20" s="1">
        <v>106</v>
      </c>
      <c r="D20" s="1">
        <v>3</v>
      </c>
      <c r="E20" s="1">
        <v>5.9</v>
      </c>
      <c r="F20" s="1">
        <v>3.9</v>
      </c>
      <c r="G20" s="1">
        <f t="shared" si="2"/>
        <v>17.700000000000003</v>
      </c>
      <c r="H20" s="1">
        <f t="shared" si="3"/>
        <v>6.0000000000000018</v>
      </c>
    </row>
    <row r="21" spans="1:8" x14ac:dyDescent="0.2">
      <c r="A21" s="2">
        <v>43891</v>
      </c>
      <c r="B21" s="1" t="s">
        <v>16</v>
      </c>
      <c r="C21" s="1">
        <v>101</v>
      </c>
      <c r="D21" s="1">
        <v>4</v>
      </c>
      <c r="E21" s="1">
        <v>2.5</v>
      </c>
      <c r="F21" s="1">
        <v>3</v>
      </c>
      <c r="G21" s="1">
        <f t="shared" si="2"/>
        <v>10</v>
      </c>
      <c r="H21" s="1">
        <f t="shared" si="3"/>
        <v>-2</v>
      </c>
    </row>
    <row r="22" spans="1:8" x14ac:dyDescent="0.2">
      <c r="A22" s="2">
        <v>43891</v>
      </c>
      <c r="B22" s="1" t="s">
        <v>16</v>
      </c>
      <c r="C22" s="1">
        <v>106</v>
      </c>
      <c r="D22" s="1">
        <v>2</v>
      </c>
      <c r="E22" s="1">
        <v>5.9</v>
      </c>
      <c r="F22" s="1">
        <v>3.9</v>
      </c>
      <c r="G22" s="1">
        <f t="shared" si="2"/>
        <v>11.8</v>
      </c>
      <c r="H22" s="1">
        <f t="shared" si="3"/>
        <v>4.0000000000000009</v>
      </c>
    </row>
    <row r="23" spans="1:8" x14ac:dyDescent="0.2">
      <c r="A23" s="2">
        <v>43891</v>
      </c>
      <c r="B23" s="1" t="s">
        <v>17</v>
      </c>
      <c r="C23" s="1">
        <v>101</v>
      </c>
      <c r="D23" s="1">
        <v>6</v>
      </c>
      <c r="E23" s="1">
        <v>2.5</v>
      </c>
      <c r="F23" s="1">
        <v>3</v>
      </c>
      <c r="G23" s="1">
        <f t="shared" si="2"/>
        <v>15</v>
      </c>
      <c r="H23" s="1">
        <f t="shared" si="3"/>
        <v>-3</v>
      </c>
    </row>
    <row r="24" spans="1:8" x14ac:dyDescent="0.2">
      <c r="A24" s="2">
        <v>43891</v>
      </c>
      <c r="B24" s="1" t="s">
        <v>17</v>
      </c>
      <c r="C24" s="1">
        <v>106</v>
      </c>
      <c r="D24" s="1">
        <v>2</v>
      </c>
      <c r="E24" s="1">
        <v>5.9</v>
      </c>
      <c r="F24" s="1">
        <v>3.9</v>
      </c>
      <c r="G24" s="1">
        <f t="shared" si="2"/>
        <v>11.8</v>
      </c>
      <c r="H24" s="1">
        <f t="shared" si="3"/>
        <v>4.0000000000000009</v>
      </c>
    </row>
    <row r="25" spans="1:8" x14ac:dyDescent="0.2">
      <c r="A25" s="2">
        <v>43891</v>
      </c>
      <c r="B25" s="1" t="s">
        <v>18</v>
      </c>
      <c r="C25" s="1">
        <v>103</v>
      </c>
      <c r="D25" s="1">
        <v>2</v>
      </c>
      <c r="E25" s="1">
        <v>3.5</v>
      </c>
      <c r="F25" s="1">
        <v>2.5</v>
      </c>
      <c r="G25" s="1">
        <f t="shared" si="2"/>
        <v>7</v>
      </c>
      <c r="H25" s="1">
        <f t="shared" si="3"/>
        <v>2</v>
      </c>
    </row>
    <row r="26" spans="1:8" x14ac:dyDescent="0.2">
      <c r="A26" s="2">
        <v>43891</v>
      </c>
      <c r="B26" s="1" t="s">
        <v>18</v>
      </c>
      <c r="C26" s="1">
        <v>104</v>
      </c>
      <c r="D26" s="1">
        <v>1</v>
      </c>
      <c r="E26" s="1">
        <v>19.899999999999999</v>
      </c>
      <c r="F26" s="1">
        <v>17.899999999999999</v>
      </c>
      <c r="G26" s="1">
        <f t="shared" si="2"/>
        <v>19.899999999999999</v>
      </c>
      <c r="H26" s="1">
        <f t="shared" si="3"/>
        <v>2</v>
      </c>
    </row>
    <row r="27" spans="1:8" x14ac:dyDescent="0.2">
      <c r="A27" s="2">
        <v>43892</v>
      </c>
      <c r="B27" s="1" t="s">
        <v>25</v>
      </c>
      <c r="C27" s="1">
        <v>101</v>
      </c>
      <c r="D27" s="1">
        <v>7</v>
      </c>
      <c r="E27" s="1">
        <v>2.5</v>
      </c>
      <c r="F27" s="1">
        <v>3</v>
      </c>
      <c r="G27" s="1">
        <f>D27*E27</f>
        <v>17.5</v>
      </c>
      <c r="H27" s="1">
        <f>D27*(E27-F27)</f>
        <v>-3.5</v>
      </c>
    </row>
    <row r="28" spans="1:8" x14ac:dyDescent="0.2">
      <c r="A28" s="2">
        <v>43892</v>
      </c>
      <c r="B28" s="1" t="s">
        <v>25</v>
      </c>
      <c r="C28" s="1">
        <v>102</v>
      </c>
      <c r="D28" s="1">
        <v>5</v>
      </c>
      <c r="E28" s="1">
        <v>7.9</v>
      </c>
      <c r="F28" s="1">
        <v>5</v>
      </c>
      <c r="G28" s="1">
        <f>D28*E28</f>
        <v>39.5</v>
      </c>
      <c r="H28" s="1">
        <f>D28*(E28-F28)</f>
        <v>14.500000000000002</v>
      </c>
    </row>
    <row r="29" spans="1:8" x14ac:dyDescent="0.2">
      <c r="A29" s="2">
        <v>43892</v>
      </c>
      <c r="B29" s="1" t="s">
        <v>26</v>
      </c>
      <c r="C29" s="1">
        <v>101</v>
      </c>
      <c r="D29" s="1">
        <v>12</v>
      </c>
      <c r="E29" s="1">
        <v>2.5</v>
      </c>
      <c r="F29" s="1">
        <v>3</v>
      </c>
      <c r="G29" s="1">
        <f t="shared" ref="G29:G51" si="4">D29*E29</f>
        <v>30</v>
      </c>
      <c r="H29" s="1">
        <f t="shared" ref="H29:H51" si="5">D29*(E29-F29)</f>
        <v>-6</v>
      </c>
    </row>
    <row r="30" spans="1:8" x14ac:dyDescent="0.2">
      <c r="A30" s="2">
        <v>43892</v>
      </c>
      <c r="B30" s="1" t="s">
        <v>43</v>
      </c>
      <c r="C30" s="1">
        <v>101</v>
      </c>
      <c r="D30" s="1">
        <v>6</v>
      </c>
      <c r="E30" s="1">
        <v>2.5</v>
      </c>
      <c r="F30" s="1">
        <v>3</v>
      </c>
      <c r="G30" s="1">
        <f t="shared" si="4"/>
        <v>15</v>
      </c>
      <c r="H30" s="1">
        <f t="shared" si="5"/>
        <v>-3</v>
      </c>
    </row>
    <row r="31" spans="1:8" x14ac:dyDescent="0.2">
      <c r="A31" s="2">
        <v>43892</v>
      </c>
      <c r="B31" s="1" t="s">
        <v>27</v>
      </c>
      <c r="C31" s="1">
        <v>103</v>
      </c>
      <c r="D31" s="1">
        <v>4</v>
      </c>
      <c r="E31" s="1">
        <v>3.5</v>
      </c>
      <c r="F31" s="1">
        <v>2.5</v>
      </c>
      <c r="G31" s="1">
        <f t="shared" si="4"/>
        <v>14</v>
      </c>
      <c r="H31" s="1">
        <f t="shared" si="5"/>
        <v>4</v>
      </c>
    </row>
    <row r="32" spans="1:8" x14ac:dyDescent="0.2">
      <c r="A32" s="2">
        <v>43892</v>
      </c>
      <c r="B32" s="1" t="s">
        <v>27</v>
      </c>
      <c r="C32" s="1">
        <v>101</v>
      </c>
      <c r="D32" s="1">
        <v>8</v>
      </c>
      <c r="E32" s="1">
        <v>2.5</v>
      </c>
      <c r="F32" s="1">
        <v>3</v>
      </c>
      <c r="G32" s="1">
        <f t="shared" si="4"/>
        <v>20</v>
      </c>
      <c r="H32" s="1">
        <f t="shared" si="5"/>
        <v>-4</v>
      </c>
    </row>
    <row r="33" spans="1:8" x14ac:dyDescent="0.2">
      <c r="A33" s="2">
        <v>43892</v>
      </c>
      <c r="B33" s="1" t="s">
        <v>28</v>
      </c>
      <c r="C33" s="1">
        <v>104</v>
      </c>
      <c r="D33" s="1">
        <v>3</v>
      </c>
      <c r="E33" s="1">
        <v>19.899999999999999</v>
      </c>
      <c r="F33" s="1">
        <v>17.899999999999999</v>
      </c>
      <c r="G33" s="1">
        <f t="shared" si="4"/>
        <v>59.699999999999996</v>
      </c>
      <c r="H33" s="1">
        <f t="shared" si="5"/>
        <v>6</v>
      </c>
    </row>
    <row r="34" spans="1:8" x14ac:dyDescent="0.2">
      <c r="A34" s="2">
        <v>43892</v>
      </c>
      <c r="B34" s="1" t="s">
        <v>28</v>
      </c>
      <c r="C34" s="1">
        <v>101</v>
      </c>
      <c r="D34" s="1">
        <v>6</v>
      </c>
      <c r="E34" s="1">
        <v>2.5</v>
      </c>
      <c r="F34" s="1">
        <v>3</v>
      </c>
      <c r="G34" s="1">
        <f t="shared" si="4"/>
        <v>15</v>
      </c>
      <c r="H34" s="1">
        <f t="shared" si="5"/>
        <v>-3</v>
      </c>
    </row>
    <row r="35" spans="1:8" x14ac:dyDescent="0.2">
      <c r="A35" s="2">
        <v>43892</v>
      </c>
      <c r="B35" s="1" t="s">
        <v>29</v>
      </c>
      <c r="C35" s="1">
        <v>102</v>
      </c>
      <c r="D35" s="1">
        <v>4</v>
      </c>
      <c r="E35" s="1">
        <v>7.9</v>
      </c>
      <c r="F35" s="1">
        <v>5</v>
      </c>
      <c r="G35" s="1">
        <f t="shared" si="4"/>
        <v>31.6</v>
      </c>
      <c r="H35" s="1">
        <f t="shared" si="5"/>
        <v>11.600000000000001</v>
      </c>
    </row>
    <row r="36" spans="1:8" x14ac:dyDescent="0.2">
      <c r="A36" s="2">
        <v>43892</v>
      </c>
      <c r="B36" s="1" t="s">
        <v>29</v>
      </c>
      <c r="C36" s="1">
        <v>101</v>
      </c>
      <c r="D36" s="1">
        <v>5</v>
      </c>
      <c r="E36" s="1">
        <v>2.5</v>
      </c>
      <c r="F36" s="1">
        <v>3</v>
      </c>
      <c r="G36" s="1">
        <f t="shared" si="4"/>
        <v>12.5</v>
      </c>
      <c r="H36" s="1">
        <f t="shared" si="5"/>
        <v>-2.5</v>
      </c>
    </row>
    <row r="37" spans="1:8" x14ac:dyDescent="0.2">
      <c r="A37" s="2">
        <v>43892</v>
      </c>
      <c r="B37" s="1" t="s">
        <v>30</v>
      </c>
      <c r="C37" s="1">
        <v>102</v>
      </c>
      <c r="D37" s="1">
        <v>4</v>
      </c>
      <c r="E37" s="1">
        <v>7.9</v>
      </c>
      <c r="F37" s="1">
        <v>5</v>
      </c>
      <c r="G37" s="1">
        <f t="shared" si="4"/>
        <v>31.6</v>
      </c>
      <c r="H37" s="1">
        <f t="shared" si="5"/>
        <v>11.600000000000001</v>
      </c>
    </row>
    <row r="38" spans="1:8" x14ac:dyDescent="0.2">
      <c r="A38" s="2">
        <v>43892</v>
      </c>
      <c r="B38" s="1" t="s">
        <v>30</v>
      </c>
      <c r="C38" s="1">
        <v>101</v>
      </c>
      <c r="D38" s="1">
        <v>8</v>
      </c>
      <c r="E38" s="1">
        <v>2.5</v>
      </c>
      <c r="F38" s="1">
        <v>3</v>
      </c>
      <c r="G38" s="1">
        <f t="shared" si="4"/>
        <v>20</v>
      </c>
      <c r="H38" s="1">
        <f t="shared" si="5"/>
        <v>-4</v>
      </c>
    </row>
    <row r="39" spans="1:8" x14ac:dyDescent="0.2">
      <c r="A39" s="2">
        <v>43892</v>
      </c>
      <c r="B39" s="1" t="s">
        <v>31</v>
      </c>
      <c r="C39" s="1">
        <v>105</v>
      </c>
      <c r="D39" s="1">
        <v>4</v>
      </c>
      <c r="E39" s="1">
        <v>8.8000000000000007</v>
      </c>
      <c r="F39" s="1">
        <v>6.8</v>
      </c>
      <c r="G39" s="1">
        <f t="shared" si="4"/>
        <v>35.200000000000003</v>
      </c>
      <c r="H39" s="1">
        <f t="shared" si="5"/>
        <v>8.0000000000000036</v>
      </c>
    </row>
    <row r="40" spans="1:8" x14ac:dyDescent="0.2">
      <c r="A40" s="2">
        <v>43892</v>
      </c>
      <c r="B40" s="1" t="s">
        <v>31</v>
      </c>
      <c r="C40" s="1">
        <v>101</v>
      </c>
      <c r="D40" s="1">
        <v>5</v>
      </c>
      <c r="E40" s="1">
        <v>2.5</v>
      </c>
      <c r="F40" s="1">
        <v>3</v>
      </c>
      <c r="G40" s="1">
        <f t="shared" si="4"/>
        <v>12.5</v>
      </c>
      <c r="H40" s="1">
        <f t="shared" si="5"/>
        <v>-2.5</v>
      </c>
    </row>
    <row r="41" spans="1:8" x14ac:dyDescent="0.2">
      <c r="A41" s="2">
        <v>43892</v>
      </c>
      <c r="B41" s="1" t="s">
        <v>32</v>
      </c>
      <c r="C41" s="1">
        <v>102</v>
      </c>
      <c r="D41" s="1">
        <v>4</v>
      </c>
      <c r="E41" s="1">
        <v>7.9</v>
      </c>
      <c r="F41" s="1">
        <v>5</v>
      </c>
      <c r="G41" s="1">
        <f t="shared" si="4"/>
        <v>31.6</v>
      </c>
      <c r="H41" s="1">
        <f t="shared" si="5"/>
        <v>11.600000000000001</v>
      </c>
    </row>
    <row r="42" spans="1:8" x14ac:dyDescent="0.2">
      <c r="A42" s="2">
        <v>43892</v>
      </c>
      <c r="B42" s="1" t="s">
        <v>32</v>
      </c>
      <c r="C42" s="1">
        <v>101</v>
      </c>
      <c r="D42" s="1">
        <v>5</v>
      </c>
      <c r="E42" s="1">
        <v>2.5</v>
      </c>
      <c r="F42" s="1">
        <v>3</v>
      </c>
      <c r="G42" s="1">
        <f t="shared" si="4"/>
        <v>12.5</v>
      </c>
      <c r="H42" s="1">
        <f t="shared" si="5"/>
        <v>-2.5</v>
      </c>
    </row>
    <row r="43" spans="1:8" x14ac:dyDescent="0.2">
      <c r="A43" s="2">
        <v>43892</v>
      </c>
      <c r="B43" s="1" t="s">
        <v>33</v>
      </c>
      <c r="C43" s="1">
        <v>106</v>
      </c>
      <c r="D43" s="1">
        <v>5</v>
      </c>
      <c r="E43" s="1">
        <v>5.9</v>
      </c>
      <c r="F43" s="1">
        <v>3.9</v>
      </c>
      <c r="G43" s="1">
        <f t="shared" si="4"/>
        <v>29.5</v>
      </c>
      <c r="H43" s="1">
        <f t="shared" si="5"/>
        <v>10.000000000000002</v>
      </c>
    </row>
    <row r="44" spans="1:8" x14ac:dyDescent="0.2">
      <c r="A44" s="2">
        <v>43892</v>
      </c>
      <c r="B44" s="1" t="s">
        <v>33</v>
      </c>
      <c r="C44" s="1">
        <v>101</v>
      </c>
      <c r="D44" s="1">
        <v>5</v>
      </c>
      <c r="E44" s="1">
        <v>2.5</v>
      </c>
      <c r="F44" s="1">
        <v>3</v>
      </c>
      <c r="G44" s="1">
        <f t="shared" si="4"/>
        <v>12.5</v>
      </c>
      <c r="H44" s="1">
        <f t="shared" si="5"/>
        <v>-2.5</v>
      </c>
    </row>
    <row r="45" spans="1:8" x14ac:dyDescent="0.2">
      <c r="A45" s="2">
        <v>43892</v>
      </c>
      <c r="B45" s="1" t="s">
        <v>34</v>
      </c>
      <c r="C45" s="1">
        <v>106</v>
      </c>
      <c r="D45" s="1">
        <v>5</v>
      </c>
      <c r="E45" s="1">
        <v>5.9</v>
      </c>
      <c r="F45" s="1">
        <v>3.9</v>
      </c>
      <c r="G45" s="1">
        <f t="shared" si="4"/>
        <v>29.5</v>
      </c>
      <c r="H45" s="1">
        <f t="shared" si="5"/>
        <v>10.000000000000002</v>
      </c>
    </row>
    <row r="46" spans="1:8" x14ac:dyDescent="0.2">
      <c r="A46" s="2">
        <v>43892</v>
      </c>
      <c r="B46" s="1" t="s">
        <v>34</v>
      </c>
      <c r="C46" s="1">
        <v>101</v>
      </c>
      <c r="D46" s="1">
        <v>6</v>
      </c>
      <c r="E46" s="1">
        <v>2.5</v>
      </c>
      <c r="F46" s="1">
        <v>3</v>
      </c>
      <c r="G46" s="1">
        <f t="shared" si="4"/>
        <v>15</v>
      </c>
      <c r="H46" s="1">
        <f t="shared" si="5"/>
        <v>-3</v>
      </c>
    </row>
    <row r="47" spans="1:8" x14ac:dyDescent="0.2">
      <c r="A47" s="2">
        <v>43892</v>
      </c>
      <c r="B47" s="1" t="s">
        <v>35</v>
      </c>
      <c r="C47" s="1">
        <v>106</v>
      </c>
      <c r="D47" s="1">
        <v>4</v>
      </c>
      <c r="E47" s="1">
        <v>5.9</v>
      </c>
      <c r="F47" s="1">
        <v>3.9</v>
      </c>
      <c r="G47" s="1">
        <f t="shared" si="4"/>
        <v>23.6</v>
      </c>
      <c r="H47" s="1">
        <f t="shared" si="5"/>
        <v>8.0000000000000018</v>
      </c>
    </row>
    <row r="48" spans="1:8" x14ac:dyDescent="0.2">
      <c r="A48" s="2">
        <v>43892</v>
      </c>
      <c r="B48" s="1" t="s">
        <v>35</v>
      </c>
      <c r="C48" s="1">
        <v>101</v>
      </c>
      <c r="D48" s="1">
        <v>8</v>
      </c>
      <c r="E48" s="1">
        <v>2.5</v>
      </c>
      <c r="F48" s="1">
        <v>3</v>
      </c>
      <c r="G48" s="1">
        <f t="shared" si="4"/>
        <v>20</v>
      </c>
      <c r="H48" s="1">
        <f t="shared" si="5"/>
        <v>-4</v>
      </c>
    </row>
    <row r="49" spans="1:8" x14ac:dyDescent="0.2">
      <c r="A49" s="2">
        <v>43892</v>
      </c>
      <c r="B49" s="1" t="s">
        <v>36</v>
      </c>
      <c r="C49" s="1">
        <v>106</v>
      </c>
      <c r="D49" s="1">
        <v>4</v>
      </c>
      <c r="E49" s="1">
        <v>5.9</v>
      </c>
      <c r="F49" s="1">
        <v>3.9</v>
      </c>
      <c r="G49" s="1">
        <f t="shared" si="4"/>
        <v>23.6</v>
      </c>
      <c r="H49" s="1">
        <f t="shared" si="5"/>
        <v>8.0000000000000018</v>
      </c>
    </row>
    <row r="50" spans="1:8" x14ac:dyDescent="0.2">
      <c r="A50" s="2">
        <v>43892</v>
      </c>
      <c r="B50" s="1" t="s">
        <v>36</v>
      </c>
      <c r="C50" s="1">
        <v>103</v>
      </c>
      <c r="D50" s="1">
        <v>4</v>
      </c>
      <c r="E50" s="1">
        <v>3.5</v>
      </c>
      <c r="F50" s="1">
        <v>2.5</v>
      </c>
      <c r="G50" s="1">
        <f t="shared" si="4"/>
        <v>14</v>
      </c>
      <c r="H50" s="1">
        <f t="shared" si="5"/>
        <v>4</v>
      </c>
    </row>
    <row r="51" spans="1:8" x14ac:dyDescent="0.2">
      <c r="A51" s="2">
        <v>43892</v>
      </c>
      <c r="B51" s="1" t="s">
        <v>37</v>
      </c>
      <c r="C51" s="1">
        <v>104</v>
      </c>
      <c r="D51" s="1">
        <v>3</v>
      </c>
      <c r="E51" s="1">
        <v>19.899999999999999</v>
      </c>
      <c r="F51" s="1">
        <v>17.899999999999999</v>
      </c>
      <c r="G51" s="1">
        <f t="shared" si="4"/>
        <v>59.699999999999996</v>
      </c>
      <c r="H51" s="1">
        <f t="shared" si="5"/>
        <v>6</v>
      </c>
    </row>
    <row r="52" spans="1:8" x14ac:dyDescent="0.2">
      <c r="A52" s="2">
        <v>43892</v>
      </c>
      <c r="B52" s="1" t="s">
        <v>37</v>
      </c>
      <c r="C52" s="1">
        <v>101</v>
      </c>
      <c r="D52" s="1">
        <v>10</v>
      </c>
      <c r="E52" s="1">
        <v>2.5</v>
      </c>
      <c r="F52" s="1">
        <v>3</v>
      </c>
      <c r="G52" s="1">
        <f t="shared" ref="G52:G54" si="6">D52*E52</f>
        <v>25</v>
      </c>
      <c r="H52" s="1">
        <f t="shared" ref="H52:H54" si="7">D52*(E52-F52)</f>
        <v>-5</v>
      </c>
    </row>
    <row r="53" spans="1:8" x14ac:dyDescent="0.2">
      <c r="A53" s="2">
        <v>43892</v>
      </c>
      <c r="B53" s="1" t="s">
        <v>38</v>
      </c>
      <c r="C53" s="1">
        <v>106</v>
      </c>
      <c r="D53" s="1">
        <v>5</v>
      </c>
      <c r="E53" s="1">
        <v>5.9</v>
      </c>
      <c r="F53" s="1">
        <v>3.9</v>
      </c>
      <c r="G53" s="1">
        <f t="shared" si="6"/>
        <v>29.5</v>
      </c>
      <c r="H53" s="1">
        <f t="shared" si="7"/>
        <v>10.000000000000002</v>
      </c>
    </row>
    <row r="54" spans="1:8" x14ac:dyDescent="0.2">
      <c r="A54" s="2">
        <v>43892</v>
      </c>
      <c r="B54" s="1" t="s">
        <v>38</v>
      </c>
      <c r="C54" s="1">
        <v>102</v>
      </c>
      <c r="D54" s="1">
        <v>4</v>
      </c>
      <c r="E54" s="1">
        <v>7.9</v>
      </c>
      <c r="F54" s="1">
        <v>5</v>
      </c>
      <c r="G54" s="1">
        <f t="shared" si="6"/>
        <v>31.6</v>
      </c>
      <c r="H54" s="1">
        <f t="shared" si="7"/>
        <v>11.600000000000001</v>
      </c>
    </row>
    <row r="55" spans="1:8" x14ac:dyDescent="0.2">
      <c r="A55" s="2">
        <v>43892</v>
      </c>
      <c r="B55" s="1" t="s">
        <v>39</v>
      </c>
      <c r="C55" s="1">
        <v>101</v>
      </c>
      <c r="D55" s="1">
        <v>8</v>
      </c>
      <c r="E55" s="1">
        <v>2.5</v>
      </c>
      <c r="F55" s="1">
        <v>3</v>
      </c>
      <c r="G55" s="1">
        <f t="shared" ref="G55:G56" si="8">D55*E55</f>
        <v>20</v>
      </c>
      <c r="H55" s="1">
        <f t="shared" ref="H55:H56" si="9">D55*(E55-F55)</f>
        <v>-4</v>
      </c>
    </row>
    <row r="56" spans="1:8" x14ac:dyDescent="0.2">
      <c r="A56" s="2">
        <v>43892</v>
      </c>
      <c r="B56" s="1" t="s">
        <v>39</v>
      </c>
      <c r="C56" s="1">
        <v>102</v>
      </c>
      <c r="D56" s="1">
        <v>4</v>
      </c>
      <c r="E56" s="1">
        <v>7.9</v>
      </c>
      <c r="F56" s="1">
        <v>5</v>
      </c>
      <c r="G56" s="1">
        <f t="shared" si="8"/>
        <v>31.6</v>
      </c>
      <c r="H56" s="1">
        <f t="shared" si="9"/>
        <v>11.600000000000001</v>
      </c>
    </row>
    <row r="57" spans="1:8" x14ac:dyDescent="0.2">
      <c r="A57" s="2">
        <v>43892</v>
      </c>
      <c r="B57" s="1" t="s">
        <v>40</v>
      </c>
      <c r="C57" s="1">
        <v>101</v>
      </c>
      <c r="D57" s="1">
        <v>25</v>
      </c>
      <c r="E57" s="1">
        <v>2.5</v>
      </c>
      <c r="F57" s="1">
        <v>3</v>
      </c>
      <c r="G57" s="1">
        <f t="shared" ref="G57:G58" si="10">D57*E57</f>
        <v>62.5</v>
      </c>
      <c r="H57" s="1">
        <f t="shared" ref="H57:H58" si="11">D57*(E57-F57)</f>
        <v>-12.5</v>
      </c>
    </row>
    <row r="58" spans="1:8" x14ac:dyDescent="0.2">
      <c r="A58" s="2">
        <v>43892</v>
      </c>
      <c r="B58" s="1" t="s">
        <v>40</v>
      </c>
      <c r="C58" s="1">
        <v>104</v>
      </c>
      <c r="D58" s="1">
        <v>3</v>
      </c>
      <c r="E58" s="1">
        <v>19.899999999999999</v>
      </c>
      <c r="F58" s="1">
        <v>17.899999999999999</v>
      </c>
      <c r="G58" s="1">
        <f t="shared" si="10"/>
        <v>59.699999999999996</v>
      </c>
      <c r="H58" s="1">
        <f t="shared" si="11"/>
        <v>6</v>
      </c>
    </row>
    <row r="59" spans="1:8" x14ac:dyDescent="0.2">
      <c r="A59" s="2">
        <v>43892</v>
      </c>
      <c r="B59" s="1" t="s">
        <v>41</v>
      </c>
      <c r="C59" s="1">
        <v>101</v>
      </c>
      <c r="D59" s="1">
        <v>15</v>
      </c>
      <c r="E59" s="1">
        <v>2.5</v>
      </c>
      <c r="F59" s="1">
        <v>3</v>
      </c>
      <c r="G59" s="1">
        <f t="shared" ref="G59" si="12">D59*E59</f>
        <v>37.5</v>
      </c>
      <c r="H59" s="1">
        <f t="shared" ref="H59" si="13">D59*(E59-F59)</f>
        <v>-7.5</v>
      </c>
    </row>
    <row r="60" spans="1:8" x14ac:dyDescent="0.2">
      <c r="A60" s="2">
        <v>43892</v>
      </c>
      <c r="B60" s="1" t="s">
        <v>41</v>
      </c>
      <c r="C60" s="1">
        <v>102</v>
      </c>
      <c r="D60" s="1">
        <v>4</v>
      </c>
      <c r="E60" s="1">
        <v>7.9</v>
      </c>
      <c r="F60" s="1">
        <v>5</v>
      </c>
      <c r="G60" s="1">
        <f t="shared" ref="G60:G61" si="14">D60*E60</f>
        <v>31.6</v>
      </c>
      <c r="H60" s="1">
        <f t="shared" ref="H60:H61" si="15">D60*(E60-F60)</f>
        <v>11.600000000000001</v>
      </c>
    </row>
    <row r="61" spans="1:8" x14ac:dyDescent="0.2">
      <c r="A61" s="2">
        <v>43892</v>
      </c>
      <c r="B61" s="1" t="s">
        <v>42</v>
      </c>
      <c r="C61" s="1">
        <v>106</v>
      </c>
      <c r="D61" s="1">
        <v>6</v>
      </c>
      <c r="E61" s="1">
        <v>5.9</v>
      </c>
      <c r="F61" s="1">
        <v>3.9</v>
      </c>
      <c r="G61" s="1">
        <f t="shared" si="14"/>
        <v>35.400000000000006</v>
      </c>
      <c r="H61" s="1">
        <f t="shared" si="15"/>
        <v>12.000000000000004</v>
      </c>
    </row>
    <row r="62" spans="1:8" x14ac:dyDescent="0.2">
      <c r="A62" s="2">
        <v>43892</v>
      </c>
      <c r="B62" s="1" t="s">
        <v>42</v>
      </c>
      <c r="C62" s="1">
        <v>102</v>
      </c>
      <c r="D62" s="1">
        <v>4</v>
      </c>
      <c r="E62" s="1">
        <v>7.9</v>
      </c>
      <c r="F62" s="1">
        <v>5</v>
      </c>
      <c r="G62" s="1">
        <f t="shared" ref="G62" si="16">D62*E62</f>
        <v>31.6</v>
      </c>
      <c r="H62" s="1">
        <f t="shared" ref="H62" si="17">D62*(E62-F62)</f>
        <v>11.600000000000001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产品表</vt:lpstr>
      <vt:lpstr>日期表</vt:lpstr>
      <vt:lpstr>客户表</vt:lpstr>
      <vt:lpstr>表3</vt:lpstr>
      <vt:lpstr>表1</vt:lpstr>
      <vt:lpstr>表2</vt:lpstr>
      <vt:lpstr>订单表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2020-03-09T11:48:59Z</dcterms:modified>
</cp:coreProperties>
</file>